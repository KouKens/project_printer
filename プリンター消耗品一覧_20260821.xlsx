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消耗品一覧" sheetId="1" state="visible" r:id="rId1"/>
    <sheet name="機種サマリー" sheetId="2" state="visible" r:id="rId2"/>
    <sheet name="台帳マスタ" sheetId="3" state="visible" r:id="rId3"/>
    <sheet name="出典" sheetId="4" state="visible" r:id="rId4"/>
    <sheet name="凡例・前提" sheetId="5" state="visible" r:id="rId5"/>
  </sheets>
  <definedNames>
    <definedName name="_xlnm._FilterDatabase" localSheetId="0" hidden="1">'消耗品一覧'!$A$1:$Q$135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  <font>
      <name val="Meiryo"/>
      <b val="1"/>
      <sz val="14"/>
    </font>
    <font>
      <name val="Meiryo"/>
      <color rgb="00555555"/>
      <sz val="9"/>
    </font>
    <font>
      <name val="Meiryo"/>
      <color rgb="000000FF"/>
      <sz val="10"/>
    </font>
    <font>
      <name val="Meiryo"/>
      <b val="1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5DDE3"/>
      </left>
      <right style="thin">
        <color rgb="00D5DDE3"/>
      </right>
      <top style="thin">
        <color rgb="00D5DDE3"/>
      </top>
      <bottom style="thin">
        <color rgb="00D5DD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/>
    </xf>
    <xf numFmtId="0" fontId="6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4" customWidth="1" min="3" max="3"/>
    <col width="6" customWidth="1" min="4" max="4"/>
    <col width="11" customWidth="1" min="5" max="5"/>
    <col width="9" customWidth="1" min="6" max="6"/>
    <col width="34" customWidth="1" min="7" max="7"/>
    <col width="18" customWidth="1" min="8" max="8"/>
    <col width="11" customWidth="1" min="9" max="9"/>
    <col width="12" customWidth="1" min="10" max="10"/>
    <col width="11" customWidth="1" min="11" max="11"/>
    <col width="20" customWidth="1" min="12" max="12"/>
    <col width="14" customWidth="1" min="13" max="13"/>
    <col width="18" customWidth="1" min="14" max="14"/>
    <col width="10" customWidth="1" min="15" max="15"/>
    <col width="40" customWidth="1" min="16" max="16"/>
    <col width="7" customWidth="1" min="17" max="17"/>
  </cols>
  <sheetData>
    <row r="1" ht="30" customHeight="1">
      <c r="A1" s="1" t="inlineStr">
        <is>
          <t>No.</t>
        </is>
      </c>
      <c r="B1" s="1" t="inlineStr">
        <is>
          <t>メーカー</t>
        </is>
      </c>
      <c r="C1" s="1" t="inlineStr">
        <is>
          <t>機種（台帳の型番）</t>
        </is>
      </c>
      <c r="D1" s="1" t="inlineStr">
        <is>
          <t>台数</t>
        </is>
      </c>
      <c r="E1" s="1" t="inlineStr">
        <is>
          <t>区分</t>
        </is>
      </c>
      <c r="F1" s="1" t="inlineStr">
        <is>
          <t>色</t>
        </is>
      </c>
      <c r="G1" s="1" t="inlineStr">
        <is>
          <t>商品名</t>
        </is>
      </c>
      <c r="H1" s="1" t="inlineStr">
        <is>
          <t>品番・型番</t>
        </is>
      </c>
      <c r="I1" s="1" t="inlineStr">
        <is>
          <t>品種コード</t>
        </is>
      </c>
      <c r="J1" s="1" t="inlineStr">
        <is>
          <t>印刷可能枚数</t>
        </is>
      </c>
      <c r="K1" s="1" t="inlineStr">
        <is>
          <t>参考価格</t>
        </is>
      </c>
      <c r="L1" s="1" t="inlineStr">
        <is>
          <t>価格の別</t>
        </is>
      </c>
      <c r="M1" s="1" t="inlineStr">
        <is>
          <t>リサイクル/互換</t>
        </is>
      </c>
      <c r="N1" s="1" t="inlineStr">
        <is>
          <t>照合キー</t>
        </is>
      </c>
      <c r="O1" s="1" t="inlineStr">
        <is>
          <t>台帳マスタ</t>
        </is>
      </c>
      <c r="P1" s="1" t="inlineStr">
        <is>
          <t>備考</t>
        </is>
      </c>
      <c r="Q1" s="1" t="inlineStr">
        <is>
          <t>出典</t>
        </is>
      </c>
    </row>
    <row r="2">
      <c r="A2" s="2" t="n">
        <v>1</v>
      </c>
      <c r="B2" s="2" t="inlineStr">
        <is>
          <t>Brother</t>
        </is>
      </c>
      <c r="C2" s="2" t="inlineStr">
        <is>
          <t>Brother HL-L3230CDW</t>
        </is>
      </c>
      <c r="D2" s="2" t="n">
        <v>1</v>
      </c>
      <c r="E2" s="2" t="inlineStr">
        <is>
          <t>トナー</t>
        </is>
      </c>
      <c r="F2" s="2" t="inlineStr">
        <is>
          <t>ブラック</t>
        </is>
      </c>
      <c r="G2" s="3" t="inlineStr">
        <is>
          <t>トナーカートリッジ TN-293BK</t>
        </is>
      </c>
      <c r="H2" s="2" t="inlineStr">
        <is>
          <t>TN-293BK</t>
        </is>
      </c>
      <c r="I2" s="2" t="inlineStr"/>
      <c r="J2" s="4" t="n">
        <v>3000</v>
      </c>
      <c r="K2" s="4" t="n">
        <v>11770</v>
      </c>
      <c r="L2" s="2" t="inlineStr">
        <is>
          <t>直販価格（税込）</t>
        </is>
      </c>
      <c r="M2" s="2" t="inlineStr">
        <is>
          <t>あり</t>
        </is>
      </c>
      <c r="N2" s="2" t="inlineStr">
        <is>
          <t>TN-293BK</t>
        </is>
      </c>
      <c r="O2" s="5">
        <f>IF($N2="","—",IF(COUNTIF(台帳マスタ!$A:$A,$N2)&gt;0,"登録あり","未登録"))</f>
        <v/>
      </c>
      <c r="P2" s="3" t="inlineStr"/>
      <c r="Q2" s="2" t="inlineStr">
        <is>
          <t>S15</t>
        </is>
      </c>
    </row>
    <row r="3">
      <c r="A3" s="2" t="n">
        <v>2</v>
      </c>
      <c r="B3" s="2" t="inlineStr">
        <is>
          <t>Brother</t>
        </is>
      </c>
      <c r="C3" s="2" t="inlineStr">
        <is>
          <t>Brother HL-L3230CDW</t>
        </is>
      </c>
      <c r="D3" s="2" t="n">
        <v>1</v>
      </c>
      <c r="E3" s="2" t="inlineStr">
        <is>
          <t>トナー</t>
        </is>
      </c>
      <c r="F3" s="2" t="inlineStr">
        <is>
          <t>シアン</t>
        </is>
      </c>
      <c r="G3" s="3" t="inlineStr">
        <is>
          <t>トナーカートリッジ TN-293C</t>
        </is>
      </c>
      <c r="H3" s="2" t="inlineStr">
        <is>
          <t>TN-293C</t>
        </is>
      </c>
      <c r="I3" s="2" t="inlineStr"/>
      <c r="J3" s="4" t="n">
        <v>1300</v>
      </c>
      <c r="K3" s="4" t="n">
        <v>9900</v>
      </c>
      <c r="L3" s="2" t="inlineStr">
        <is>
          <t>直販価格（税込）</t>
        </is>
      </c>
      <c r="M3" s="2" t="inlineStr">
        <is>
          <t>あり</t>
        </is>
      </c>
      <c r="N3" s="2" t="inlineStr">
        <is>
          <t>TN-293C</t>
        </is>
      </c>
      <c r="O3" s="5">
        <f>IF($N3="","—",IF(COUNTIF(台帳マスタ!$A:$A,$N3)&gt;0,"登録あり","未登録"))</f>
        <v/>
      </c>
      <c r="P3" s="3" t="inlineStr"/>
      <c r="Q3" s="2" t="inlineStr">
        <is>
          <t>S15</t>
        </is>
      </c>
    </row>
    <row r="4">
      <c r="A4" s="2" t="n">
        <v>3</v>
      </c>
      <c r="B4" s="2" t="inlineStr">
        <is>
          <t>Brother</t>
        </is>
      </c>
      <c r="C4" s="2" t="inlineStr">
        <is>
          <t>Brother HL-L3230CDW</t>
        </is>
      </c>
      <c r="D4" s="2" t="n">
        <v>1</v>
      </c>
      <c r="E4" s="2" t="inlineStr">
        <is>
          <t>トナー</t>
        </is>
      </c>
      <c r="F4" s="2" t="inlineStr">
        <is>
          <t>マゼンタ</t>
        </is>
      </c>
      <c r="G4" s="3" t="inlineStr">
        <is>
          <t>トナーカートリッジ TN-293M</t>
        </is>
      </c>
      <c r="H4" s="2" t="inlineStr">
        <is>
          <t>TN-293M</t>
        </is>
      </c>
      <c r="I4" s="2" t="inlineStr"/>
      <c r="J4" s="4" t="n">
        <v>1300</v>
      </c>
      <c r="K4" s="4" t="n">
        <v>9900</v>
      </c>
      <c r="L4" s="2" t="inlineStr">
        <is>
          <t>直販価格（税込）</t>
        </is>
      </c>
      <c r="M4" s="2" t="inlineStr">
        <is>
          <t>あり</t>
        </is>
      </c>
      <c r="N4" s="2" t="inlineStr">
        <is>
          <t>TN-293M</t>
        </is>
      </c>
      <c r="O4" s="5">
        <f>IF($N4="","—",IF(COUNTIF(台帳マスタ!$A:$A,$N4)&gt;0,"登録あり","未登録"))</f>
        <v/>
      </c>
      <c r="P4" s="3" t="inlineStr"/>
      <c r="Q4" s="2" t="inlineStr">
        <is>
          <t>S15</t>
        </is>
      </c>
    </row>
    <row r="5">
      <c r="A5" s="2" t="n">
        <v>4</v>
      </c>
      <c r="B5" s="2" t="inlineStr">
        <is>
          <t>Brother</t>
        </is>
      </c>
      <c r="C5" s="2" t="inlineStr">
        <is>
          <t>Brother HL-L3230CDW</t>
        </is>
      </c>
      <c r="D5" s="2" t="n">
        <v>1</v>
      </c>
      <c r="E5" s="2" t="inlineStr">
        <is>
          <t>トナー</t>
        </is>
      </c>
      <c r="F5" s="2" t="inlineStr">
        <is>
          <t>イエロー</t>
        </is>
      </c>
      <c r="G5" s="3" t="inlineStr">
        <is>
          <t>トナーカートリッジ TN-293Y</t>
        </is>
      </c>
      <c r="H5" s="2" t="inlineStr">
        <is>
          <t>TN-293Y</t>
        </is>
      </c>
      <c r="I5" s="2" t="inlineStr"/>
      <c r="J5" s="4" t="n">
        <v>1300</v>
      </c>
      <c r="K5" s="4" t="n">
        <v>9900</v>
      </c>
      <c r="L5" s="2" t="inlineStr">
        <is>
          <t>直販価格（税込）</t>
        </is>
      </c>
      <c r="M5" s="2" t="inlineStr">
        <is>
          <t>あり</t>
        </is>
      </c>
      <c r="N5" s="2" t="inlineStr">
        <is>
          <t>TN-293Y</t>
        </is>
      </c>
      <c r="O5" s="5">
        <f>IF($N5="","—",IF(COUNTIF(台帳マスタ!$A:$A,$N5)&gt;0,"登録あり","未登録"))</f>
        <v/>
      </c>
      <c r="P5" s="3" t="inlineStr"/>
      <c r="Q5" s="2" t="inlineStr">
        <is>
          <t>S15</t>
        </is>
      </c>
    </row>
    <row r="6">
      <c r="A6" s="2" t="n">
        <v>5</v>
      </c>
      <c r="B6" s="2" t="inlineStr">
        <is>
          <t>Brother</t>
        </is>
      </c>
      <c r="C6" s="2" t="inlineStr">
        <is>
          <t>Brother HL-L3230CDW</t>
        </is>
      </c>
      <c r="D6" s="2" t="n">
        <v>1</v>
      </c>
      <c r="E6" s="2" t="inlineStr">
        <is>
          <t>トナー</t>
        </is>
      </c>
      <c r="F6" s="2" t="inlineStr">
        <is>
          <t>シアン</t>
        </is>
      </c>
      <c r="G6" s="3" t="inlineStr">
        <is>
          <t>大容量トナーカートリッジ TN-297C</t>
        </is>
      </c>
      <c r="H6" s="2" t="inlineStr">
        <is>
          <t>TN-297C</t>
        </is>
      </c>
      <c r="I6" s="2" t="inlineStr"/>
      <c r="J6" s="4" t="n">
        <v>2300</v>
      </c>
      <c r="K6" s="4" t="n"/>
      <c r="L6" s="2" t="inlineStr">
        <is>
          <t>直販価格（税込）</t>
        </is>
      </c>
      <c r="M6" s="2" t="inlineStr">
        <is>
          <t>あり</t>
        </is>
      </c>
      <c r="N6" s="2" t="inlineStr">
        <is>
          <t>TN-297C</t>
        </is>
      </c>
      <c r="O6" s="5">
        <f>IF($N6="","—",IF(COUNTIF(台帳マスタ!$A:$A,$N6)&gt;0,"登録あり","未登録"))</f>
        <v/>
      </c>
      <c r="P6" s="3" t="inlineStr">
        <is>
          <t>黒の大容量は設定なし</t>
        </is>
      </c>
      <c r="Q6" s="2" t="inlineStr">
        <is>
          <t>S14</t>
        </is>
      </c>
    </row>
    <row r="7">
      <c r="A7" s="2" t="n">
        <v>6</v>
      </c>
      <c r="B7" s="2" t="inlineStr">
        <is>
          <t>Brother</t>
        </is>
      </c>
      <c r="C7" s="2" t="inlineStr">
        <is>
          <t>Brother HL-L3230CDW</t>
        </is>
      </c>
      <c r="D7" s="2" t="n">
        <v>1</v>
      </c>
      <c r="E7" s="2" t="inlineStr">
        <is>
          <t>トナー</t>
        </is>
      </c>
      <c r="F7" s="2" t="inlineStr">
        <is>
          <t>マゼンタ</t>
        </is>
      </c>
      <c r="G7" s="3" t="inlineStr">
        <is>
          <t>大容量トナーカートリッジ TN-297M</t>
        </is>
      </c>
      <c r="H7" s="2" t="inlineStr">
        <is>
          <t>TN-297M</t>
        </is>
      </c>
      <c r="I7" s="2" t="inlineStr"/>
      <c r="J7" s="4" t="n">
        <v>2300</v>
      </c>
      <c r="K7" s="4" t="n"/>
      <c r="L7" s="2" t="inlineStr">
        <is>
          <t>直販価格（税込）</t>
        </is>
      </c>
      <c r="M7" s="2" t="inlineStr">
        <is>
          <t>あり</t>
        </is>
      </c>
      <c r="N7" s="2" t="inlineStr">
        <is>
          <t>TN-297M</t>
        </is>
      </c>
      <c r="O7" s="5">
        <f>IF($N7="","—",IF(COUNTIF(台帳マスタ!$A:$A,$N7)&gt;0,"登録あり","未登録"))</f>
        <v/>
      </c>
      <c r="P7" s="3" t="inlineStr">
        <is>
          <t>黒の大容量は設定なし</t>
        </is>
      </c>
      <c r="Q7" s="2" t="inlineStr">
        <is>
          <t>S14</t>
        </is>
      </c>
    </row>
    <row r="8">
      <c r="A8" s="2" t="n">
        <v>7</v>
      </c>
      <c r="B8" s="2" t="inlineStr">
        <is>
          <t>Brother</t>
        </is>
      </c>
      <c r="C8" s="2" t="inlineStr">
        <is>
          <t>Brother HL-L3230CDW</t>
        </is>
      </c>
      <c r="D8" s="2" t="n">
        <v>1</v>
      </c>
      <c r="E8" s="2" t="inlineStr">
        <is>
          <t>トナー</t>
        </is>
      </c>
      <c r="F8" s="2" t="inlineStr">
        <is>
          <t>イエロー</t>
        </is>
      </c>
      <c r="G8" s="3" t="inlineStr">
        <is>
          <t>大容量トナーカートリッジ TN-297Y</t>
        </is>
      </c>
      <c r="H8" s="2" t="inlineStr">
        <is>
          <t>TN-297Y</t>
        </is>
      </c>
      <c r="I8" s="2" t="inlineStr"/>
      <c r="J8" s="4" t="n">
        <v>2300</v>
      </c>
      <c r="K8" s="4" t="n"/>
      <c r="L8" s="2" t="inlineStr">
        <is>
          <t>直販価格（税込）</t>
        </is>
      </c>
      <c r="M8" s="2" t="inlineStr">
        <is>
          <t>あり</t>
        </is>
      </c>
      <c r="N8" s="2" t="inlineStr">
        <is>
          <t>TN-297Y</t>
        </is>
      </c>
      <c r="O8" s="5">
        <f>IF($N8="","—",IF(COUNTIF(台帳マスタ!$A:$A,$N8)&gt;0,"登録あり","未登録"))</f>
        <v/>
      </c>
      <c r="P8" s="3" t="inlineStr">
        <is>
          <t>黒の大容量は設定なし</t>
        </is>
      </c>
      <c r="Q8" s="2" t="inlineStr">
        <is>
          <t>S14</t>
        </is>
      </c>
    </row>
    <row r="9">
      <c r="A9" s="2" t="n">
        <v>8</v>
      </c>
      <c r="B9" s="2" t="inlineStr">
        <is>
          <t>Brother</t>
        </is>
      </c>
      <c r="C9" s="2" t="inlineStr">
        <is>
          <t>Brother HL-L3230CDW</t>
        </is>
      </c>
      <c r="D9" s="2" t="n">
        <v>1</v>
      </c>
      <c r="E9" s="2" t="inlineStr">
        <is>
          <t>ドラム</t>
        </is>
      </c>
      <c r="F9" s="2" t="inlineStr">
        <is>
          <t>ブラック</t>
        </is>
      </c>
      <c r="G9" s="3" t="inlineStr">
        <is>
          <t>ドラムユニット DR-293CL-BK</t>
        </is>
      </c>
      <c r="H9" s="2" t="inlineStr">
        <is>
          <t>DR-293CL-BK</t>
        </is>
      </c>
      <c r="I9" s="2" t="inlineStr"/>
      <c r="J9" s="4" t="n">
        <v>18000</v>
      </c>
      <c r="K9" s="4" t="n">
        <v>6160</v>
      </c>
      <c r="L9" s="2" t="inlineStr">
        <is>
          <t>直販価格（税込）</t>
        </is>
      </c>
      <c r="M9" s="2" t="inlineStr">
        <is>
          <t>あり</t>
        </is>
      </c>
      <c r="N9" s="2" t="inlineStr">
        <is>
          <t>DR-293CL-BK</t>
        </is>
      </c>
      <c r="O9" s="5">
        <f>IF($N9="","—",IF(COUNTIF(台帳マスタ!$A:$A,$N9)&gt;0,"登録あり","未登録"))</f>
        <v/>
      </c>
      <c r="P9" s="3" t="inlineStr"/>
      <c r="Q9" s="2" t="inlineStr">
        <is>
          <t>S15</t>
        </is>
      </c>
    </row>
    <row r="10">
      <c r="A10" s="2" t="n">
        <v>9</v>
      </c>
      <c r="B10" s="2" t="inlineStr">
        <is>
          <t>Brother</t>
        </is>
      </c>
      <c r="C10" s="2" t="inlineStr">
        <is>
          <t>Brother HL-L3230CDW</t>
        </is>
      </c>
      <c r="D10" s="2" t="n">
        <v>1</v>
      </c>
      <c r="E10" s="2" t="inlineStr">
        <is>
          <t>ドラム</t>
        </is>
      </c>
      <c r="F10" s="2" t="inlineStr">
        <is>
          <t>カラー</t>
        </is>
      </c>
      <c r="G10" s="3" t="inlineStr">
        <is>
          <t>ドラムユニット DR-293CL-CMY（カラー3本）</t>
        </is>
      </c>
      <c r="H10" s="2" t="inlineStr">
        <is>
          <t>DR-293CL-CMY</t>
        </is>
      </c>
      <c r="I10" s="2" t="inlineStr"/>
      <c r="J10" s="4" t="n">
        <v>18000</v>
      </c>
      <c r="K10" s="4" t="n">
        <v>6160</v>
      </c>
      <c r="L10" s="2" t="inlineStr">
        <is>
          <t>直販価格（税込）</t>
        </is>
      </c>
      <c r="M10" s="2" t="inlineStr">
        <is>
          <t>あり</t>
        </is>
      </c>
      <c r="N10" s="2" t="inlineStr">
        <is>
          <t>DR-293CL-CMY</t>
        </is>
      </c>
      <c r="O10" s="5">
        <f>IF($N10="","—",IF(COUNTIF(台帳マスタ!$A:$A,$N10)&gt;0,"登録あり","未登録"))</f>
        <v/>
      </c>
      <c r="P10" s="3" t="inlineStr">
        <is>
          <t>台帳は色別（-C/-M/-Y）で登録。純正はCMY3本セット</t>
        </is>
      </c>
      <c r="Q10" s="2" t="inlineStr">
        <is>
          <t>S15</t>
        </is>
      </c>
    </row>
    <row r="11">
      <c r="A11" s="2" t="n">
        <v>10</v>
      </c>
      <c r="B11" s="2" t="inlineStr">
        <is>
          <t>Brother</t>
        </is>
      </c>
      <c r="C11" s="2" t="inlineStr">
        <is>
          <t>Brother HL-L3230CDW</t>
        </is>
      </c>
      <c r="D11" s="2" t="n">
        <v>1</v>
      </c>
      <c r="E11" s="2" t="inlineStr">
        <is>
          <t>ドラム</t>
        </is>
      </c>
      <c r="F11" s="2" t="inlineStr">
        <is>
          <t>BK,C,M,Y</t>
        </is>
      </c>
      <c r="G11" s="3" t="inlineStr">
        <is>
          <t>ドラムユニット DR-293CL（4本入り）</t>
        </is>
      </c>
      <c r="H11" s="2" t="inlineStr">
        <is>
          <t>DR-293CL</t>
        </is>
      </c>
      <c r="I11" s="2" t="inlineStr"/>
      <c r="J11" s="4" t="n">
        <v>18000</v>
      </c>
      <c r="K11" s="4" t="n">
        <v>16610</v>
      </c>
      <c r="L11" s="2" t="inlineStr">
        <is>
          <t>直販価格（税込）</t>
        </is>
      </c>
      <c r="M11" s="2" t="inlineStr">
        <is>
          <t>あり</t>
        </is>
      </c>
      <c r="N11" s="2" t="inlineStr">
        <is>
          <t>DR-293CL</t>
        </is>
      </c>
      <c r="O11" s="5">
        <f>IF($N11="","—",IF(COUNTIF(台帳マスタ!$A:$A,$N11)&gt;0,"登録あり","未登録"))</f>
        <v/>
      </c>
      <c r="P11" s="3" t="inlineStr"/>
      <c r="Q11" s="2" t="inlineStr">
        <is>
          <t>S15</t>
        </is>
      </c>
    </row>
    <row r="12">
      <c r="A12" s="2" t="n">
        <v>11</v>
      </c>
      <c r="B12" s="2" t="inlineStr">
        <is>
          <t>Brother</t>
        </is>
      </c>
      <c r="C12" s="2" t="inlineStr">
        <is>
          <t>Brother HL-L3230CDW</t>
        </is>
      </c>
      <c r="D12" s="2" t="n">
        <v>1</v>
      </c>
      <c r="E12" s="2" t="inlineStr">
        <is>
          <t>ベルト</t>
        </is>
      </c>
      <c r="F12" s="2" t="inlineStr">
        <is>
          <t>—</t>
        </is>
      </c>
      <c r="G12" s="3" t="inlineStr">
        <is>
          <t>ベルトユニット BU-223CL</t>
        </is>
      </c>
      <c r="H12" s="2" t="inlineStr">
        <is>
          <t>BU-223CL</t>
        </is>
      </c>
      <c r="I12" s="2" t="inlineStr"/>
      <c r="J12" s="4" t="n">
        <v>50000</v>
      </c>
      <c r="K12" s="4" t="n">
        <v>27500</v>
      </c>
      <c r="L12" s="2" t="inlineStr">
        <is>
          <t>直販価格（税込）</t>
        </is>
      </c>
      <c r="M12" s="2" t="inlineStr">
        <is>
          <t>あり</t>
        </is>
      </c>
      <c r="N12" s="2" t="inlineStr">
        <is>
          <t>BU-223CL</t>
        </is>
      </c>
      <c r="O12" s="5">
        <f>IF($N12="","—",IF(COUNTIF(台帳マスタ!$A:$A,$N12)&gt;0,"登録あり","未登録"))</f>
        <v/>
      </c>
      <c r="P12" s="3" t="inlineStr">
        <is>
          <t>定期交換部品。台帳マスタに未登録</t>
        </is>
      </c>
      <c r="Q12" s="2" t="inlineStr">
        <is>
          <t>S15</t>
        </is>
      </c>
    </row>
    <row r="13">
      <c r="A13" s="2" t="n">
        <v>12</v>
      </c>
      <c r="B13" s="2" t="inlineStr">
        <is>
          <t>Brother</t>
        </is>
      </c>
      <c r="C13" s="2" t="inlineStr">
        <is>
          <t>Brother HL-L3230CDW</t>
        </is>
      </c>
      <c r="D13" s="2" t="n">
        <v>1</v>
      </c>
      <c r="E13" s="2" t="inlineStr">
        <is>
          <t>廃トナー</t>
        </is>
      </c>
      <c r="F13" s="2" t="inlineStr">
        <is>
          <t>—</t>
        </is>
      </c>
      <c r="G13" s="3" t="inlineStr">
        <is>
          <t>廃トナーボックス WT-223CL</t>
        </is>
      </c>
      <c r="H13" s="2" t="inlineStr">
        <is>
          <t>WT-223CL</t>
        </is>
      </c>
      <c r="I13" s="2" t="inlineStr"/>
      <c r="J13" s="4" t="n">
        <v>50000</v>
      </c>
      <c r="K13" s="4" t="n">
        <v>3080</v>
      </c>
      <c r="L13" s="2" t="inlineStr">
        <is>
          <t>直販価格（税込）</t>
        </is>
      </c>
      <c r="M13" s="2" t="inlineStr">
        <is>
          <t>あり</t>
        </is>
      </c>
      <c r="N13" s="2" t="inlineStr">
        <is>
          <t>WT-223CL</t>
        </is>
      </c>
      <c r="O13" s="5">
        <f>IF($N13="","—",IF(COUNTIF(台帳マスタ!$A:$A,$N13)&gt;0,"登録あり","未登録"))</f>
        <v/>
      </c>
      <c r="P13" s="3" t="inlineStr">
        <is>
          <t>定期交換部品。台帳マスタに未登録</t>
        </is>
      </c>
      <c r="Q13" s="2" t="inlineStr">
        <is>
          <t>S15</t>
        </is>
      </c>
    </row>
    <row r="14">
      <c r="A14" s="2" t="n">
        <v>13</v>
      </c>
      <c r="B14" s="2" t="inlineStr">
        <is>
          <t>Canon</t>
        </is>
      </c>
      <c r="C14" s="2" t="inlineStr">
        <is>
          <t>Canon iR-ADV C3520F</t>
        </is>
      </c>
      <c r="D14" s="2" t="n">
        <v>10</v>
      </c>
      <c r="E14" s="2" t="inlineStr">
        <is>
          <t>トナー</t>
        </is>
      </c>
      <c r="F14" s="2" t="inlineStr">
        <is>
          <t>ブラック</t>
        </is>
      </c>
      <c r="G14" s="3" t="inlineStr">
        <is>
          <t>トナーカートリッジ NPG-67 ブラック</t>
        </is>
      </c>
      <c r="H14" s="2" t="inlineStr">
        <is>
          <t>NPG-67 BK</t>
        </is>
      </c>
      <c r="I14" s="2" t="inlineStr"/>
      <c r="J14" s="4" t="n">
        <v>15000</v>
      </c>
      <c r="K14" s="4" t="n">
        <v>17600</v>
      </c>
      <c r="L14" s="2" t="inlineStr">
        <is>
          <t>実売の参考（税込）</t>
        </is>
      </c>
      <c r="M14" s="2" t="inlineStr">
        <is>
          <t>あり</t>
        </is>
      </c>
      <c r="N14" s="2" t="inlineStr">
        <is>
          <t>NPG-67BK</t>
        </is>
      </c>
      <c r="O14" s="5">
        <f>IF($N14="","—",IF(COUNTIF(台帳マスタ!$A:$A,$N14)&gt;0,"登録あり","未登録"))</f>
        <v/>
      </c>
      <c r="P14" s="3" t="inlineStr">
        <is>
          <t>純正。価格は販売店により幅がある</t>
        </is>
      </c>
      <c r="Q14" s="2" t="inlineStr">
        <is>
          <t>S20</t>
        </is>
      </c>
    </row>
    <row r="15">
      <c r="A15" s="2" t="n">
        <v>14</v>
      </c>
      <c r="B15" s="2" t="inlineStr">
        <is>
          <t>Canon</t>
        </is>
      </c>
      <c r="C15" s="2" t="inlineStr">
        <is>
          <t>Canon iR-ADV C3520F</t>
        </is>
      </c>
      <c r="D15" s="2" t="n">
        <v>10</v>
      </c>
      <c r="E15" s="2" t="inlineStr">
        <is>
          <t>トナー</t>
        </is>
      </c>
      <c r="F15" s="2" t="inlineStr">
        <is>
          <t>シアン</t>
        </is>
      </c>
      <c r="G15" s="3" t="inlineStr">
        <is>
          <t>トナーカートリッジ NPG-67 シアン</t>
        </is>
      </c>
      <c r="H15" s="2" t="inlineStr">
        <is>
          <t>NPG-67 C</t>
        </is>
      </c>
      <c r="I15" s="2" t="inlineStr"/>
      <c r="J15" s="4" t="n">
        <v>9000</v>
      </c>
      <c r="K15" s="4" t="n">
        <v>17600</v>
      </c>
      <c r="L15" s="2" t="inlineStr">
        <is>
          <t>実売の参考（税込）</t>
        </is>
      </c>
      <c r="M15" s="2" t="inlineStr">
        <is>
          <t>あり</t>
        </is>
      </c>
      <c r="N15" s="2" t="inlineStr">
        <is>
          <t>NPG-67 C</t>
        </is>
      </c>
      <c r="O15" s="5">
        <f>IF($N15="","—",IF(COUNTIF(台帳マスタ!$A:$A,$N15)&gt;0,"登録あり","未登録"))</f>
        <v/>
      </c>
      <c r="P15" s="3" t="inlineStr">
        <is>
          <t>純正。4色セットの例 54,180 円（税別）</t>
        </is>
      </c>
      <c r="Q15" s="2" t="inlineStr">
        <is>
          <t>S20</t>
        </is>
      </c>
    </row>
    <row r="16">
      <c r="A16" s="2" t="n">
        <v>15</v>
      </c>
      <c r="B16" s="2" t="inlineStr">
        <is>
          <t>Canon</t>
        </is>
      </c>
      <c r="C16" s="2" t="inlineStr">
        <is>
          <t>Canon iR-ADV C3520F</t>
        </is>
      </c>
      <c r="D16" s="2" t="n">
        <v>10</v>
      </c>
      <c r="E16" s="2" t="inlineStr">
        <is>
          <t>トナー</t>
        </is>
      </c>
      <c r="F16" s="2" t="inlineStr">
        <is>
          <t>マゼンタ</t>
        </is>
      </c>
      <c r="G16" s="3" t="inlineStr">
        <is>
          <t>トナーカートリッジ NPG-67 マゼンタ</t>
        </is>
      </c>
      <c r="H16" s="2" t="inlineStr">
        <is>
          <t>NPG-67 M</t>
        </is>
      </c>
      <c r="I16" s="2" t="inlineStr"/>
      <c r="J16" s="4" t="n">
        <v>9000</v>
      </c>
      <c r="K16" s="4" t="n">
        <v>17600</v>
      </c>
      <c r="L16" s="2" t="inlineStr">
        <is>
          <t>実売の参考（税込）</t>
        </is>
      </c>
      <c r="M16" s="2" t="inlineStr">
        <is>
          <t>あり</t>
        </is>
      </c>
      <c r="N16" s="2" t="inlineStr">
        <is>
          <t>NPG-67 M</t>
        </is>
      </c>
      <c r="O16" s="5">
        <f>IF($N16="","—",IF(COUNTIF(台帳マスタ!$A:$A,$N16)&gt;0,"登録あり","未登録"))</f>
        <v/>
      </c>
      <c r="P16" s="3" t="inlineStr">
        <is>
          <t>純正。4色セットの例 54,180 円（税別）</t>
        </is>
      </c>
      <c r="Q16" s="2" t="inlineStr">
        <is>
          <t>S20</t>
        </is>
      </c>
    </row>
    <row r="17">
      <c r="A17" s="2" t="n">
        <v>16</v>
      </c>
      <c r="B17" s="2" t="inlineStr">
        <is>
          <t>Canon</t>
        </is>
      </c>
      <c r="C17" s="2" t="inlineStr">
        <is>
          <t>Canon iR-ADV C3520F</t>
        </is>
      </c>
      <c r="D17" s="2" t="n">
        <v>10</v>
      </c>
      <c r="E17" s="2" t="inlineStr">
        <is>
          <t>トナー</t>
        </is>
      </c>
      <c r="F17" s="2" t="inlineStr">
        <is>
          <t>イエロー</t>
        </is>
      </c>
      <c r="G17" s="3" t="inlineStr">
        <is>
          <t>トナーカートリッジ NPG-67 イエロー</t>
        </is>
      </c>
      <c r="H17" s="2" t="inlineStr">
        <is>
          <t>NPG-67 Y</t>
        </is>
      </c>
      <c r="I17" s="2" t="inlineStr"/>
      <c r="J17" s="4" t="n">
        <v>9000</v>
      </c>
      <c r="K17" s="4" t="n">
        <v>17600</v>
      </c>
      <c r="L17" s="2" t="inlineStr">
        <is>
          <t>実売の参考（税込）</t>
        </is>
      </c>
      <c r="M17" s="2" t="inlineStr">
        <is>
          <t>あり</t>
        </is>
      </c>
      <c r="N17" s="2" t="inlineStr">
        <is>
          <t>NPG-67 Y</t>
        </is>
      </c>
      <c r="O17" s="5">
        <f>IF($N17="","—",IF(COUNTIF(台帳マスタ!$A:$A,$N17)&gt;0,"登録あり","未登録"))</f>
        <v/>
      </c>
      <c r="P17" s="3" t="inlineStr">
        <is>
          <t>純正。4色セットの例 54,180 円（税別）</t>
        </is>
      </c>
      <c r="Q17" s="2" t="inlineStr">
        <is>
          <t>S20</t>
        </is>
      </c>
    </row>
    <row r="18">
      <c r="A18" s="2" t="n">
        <v>17</v>
      </c>
      <c r="B18" s="2" t="inlineStr">
        <is>
          <t>Canon</t>
        </is>
      </c>
      <c r="C18" s="2" t="inlineStr">
        <is>
          <t>Canon iR-ADV C3520F</t>
        </is>
      </c>
      <c r="D18" s="2" t="n">
        <v>10</v>
      </c>
      <c r="E18" s="2" t="inlineStr">
        <is>
          <t>廃トナー</t>
        </is>
      </c>
      <c r="F18" s="2" t="inlineStr">
        <is>
          <t>—</t>
        </is>
      </c>
      <c r="G18" s="3" t="inlineStr">
        <is>
          <t>回収トナー容器 WT-202</t>
        </is>
      </c>
      <c r="H18" s="2" t="inlineStr">
        <is>
          <t>WT-202</t>
        </is>
      </c>
      <c r="I18" s="2" t="inlineStr"/>
      <c r="J18" s="4" t="n">
        <v>100000</v>
      </c>
      <c r="K18" s="4" t="n">
        <v>8800</v>
      </c>
      <c r="L18" s="2" t="inlineStr">
        <is>
          <t>実売の参考（税込）</t>
        </is>
      </c>
      <c r="M18" s="2" t="inlineStr">
        <is>
          <t>あり</t>
        </is>
      </c>
      <c r="N18" s="2" t="inlineStr">
        <is>
          <t>WT-202</t>
        </is>
      </c>
      <c r="O18" s="5">
        <f>IF($N18="","—",IF(COUNTIF(台帳マスタ!$A:$A,$N18)&gt;0,"登録あり","未登録"))</f>
        <v/>
      </c>
      <c r="P18" s="3" t="inlineStr">
        <is>
          <t>約10万枚で交換。7,700〜9,780 円の実売例</t>
        </is>
      </c>
      <c r="Q18" s="2" t="inlineStr">
        <is>
          <t>S21</t>
        </is>
      </c>
    </row>
    <row r="19">
      <c r="A19" s="2" t="n">
        <v>18</v>
      </c>
      <c r="B19" s="2" t="inlineStr">
        <is>
          <t>Canon</t>
        </is>
      </c>
      <c r="C19" s="2" t="inlineStr">
        <is>
          <t>Canon iR-ADV C3520F</t>
        </is>
      </c>
      <c r="D19" s="2" t="n">
        <v>10</v>
      </c>
      <c r="E19" s="2" t="inlineStr">
        <is>
          <t>ドラム</t>
        </is>
      </c>
      <c r="F19" s="2" t="inlineStr">
        <is>
          <t>各色共通</t>
        </is>
      </c>
      <c r="G19" s="3" t="inlineStr">
        <is>
          <t>ドラムユニット NPG-67（海外名 GPR-53）</t>
        </is>
      </c>
      <c r="H19" s="2" t="inlineStr">
        <is>
          <t>NPG-67 ドラム</t>
        </is>
      </c>
      <c r="I19" s="2" t="inlineStr"/>
      <c r="J19" s="4" t="n">
        <v>72600</v>
      </c>
      <c r="K19" s="4" t="n"/>
      <c r="L19" s="2" t="inlineStr">
        <is>
          <t>実売の参考（税込）</t>
        </is>
      </c>
      <c r="M19" s="2" t="inlineStr">
        <is>
          <t>あり</t>
        </is>
      </c>
      <c r="N19" s="2" t="inlineStr">
        <is>
          <t>NPG-67 ドラム</t>
        </is>
      </c>
      <c r="O19" s="5">
        <f>IF($N19="","—",IF(COUNTIF(台帳マスタ!$A:$A,$N19)&gt;0,"登録あり","未登録"))</f>
        <v/>
      </c>
      <c r="P19" s="3" t="inlineStr">
        <is>
          <t>国内は保守契約でのサービス交換が基本。輸入純正が流通</t>
        </is>
      </c>
      <c r="Q19" s="2" t="inlineStr">
        <is>
          <t>S22</t>
        </is>
      </c>
    </row>
    <row r="20">
      <c r="A20" s="2" t="n">
        <v>19</v>
      </c>
      <c r="B20" s="2" t="inlineStr">
        <is>
          <t>Canon</t>
        </is>
      </c>
      <c r="C20" s="2" t="inlineStr">
        <is>
          <t>Canon iR-ADV C3530F</t>
        </is>
      </c>
      <c r="D20" s="2" t="n">
        <v>4</v>
      </c>
      <c r="E20" s="2" t="inlineStr">
        <is>
          <t>トナー</t>
        </is>
      </c>
      <c r="F20" s="2" t="inlineStr">
        <is>
          <t>ブラック</t>
        </is>
      </c>
      <c r="G20" s="3" t="inlineStr">
        <is>
          <t>トナーカートリッジ NPG-67 ブラック</t>
        </is>
      </c>
      <c r="H20" s="2" t="inlineStr">
        <is>
          <t>NPG-67 BK</t>
        </is>
      </c>
      <c r="I20" s="2" t="inlineStr"/>
      <c r="J20" s="4" t="n">
        <v>15000</v>
      </c>
      <c r="K20" s="4" t="n">
        <v>17600</v>
      </c>
      <c r="L20" s="2" t="inlineStr">
        <is>
          <t>実売の参考（税込）</t>
        </is>
      </c>
      <c r="M20" s="2" t="inlineStr">
        <is>
          <t>あり</t>
        </is>
      </c>
      <c r="N20" s="2" t="inlineStr">
        <is>
          <t>NPG-67BK</t>
        </is>
      </c>
      <c r="O20" s="5">
        <f>IF($N20="","—",IF(COUNTIF(台帳マスタ!$A:$A,$N20)&gt;0,"登録あり","未登録"))</f>
        <v/>
      </c>
      <c r="P20" s="3" t="inlineStr">
        <is>
          <t>純正。価格は販売店により幅がある</t>
        </is>
      </c>
      <c r="Q20" s="2" t="inlineStr">
        <is>
          <t>S20</t>
        </is>
      </c>
    </row>
    <row r="21">
      <c r="A21" s="2" t="n">
        <v>20</v>
      </c>
      <c r="B21" s="2" t="inlineStr">
        <is>
          <t>Canon</t>
        </is>
      </c>
      <c r="C21" s="2" t="inlineStr">
        <is>
          <t>Canon iR-ADV C3530F</t>
        </is>
      </c>
      <c r="D21" s="2" t="n">
        <v>4</v>
      </c>
      <c r="E21" s="2" t="inlineStr">
        <is>
          <t>トナー</t>
        </is>
      </c>
      <c r="F21" s="2" t="inlineStr">
        <is>
          <t>シアン</t>
        </is>
      </c>
      <c r="G21" s="3" t="inlineStr">
        <is>
          <t>トナーカートリッジ NPG-67 シアン</t>
        </is>
      </c>
      <c r="H21" s="2" t="inlineStr">
        <is>
          <t>NPG-67 C</t>
        </is>
      </c>
      <c r="I21" s="2" t="inlineStr"/>
      <c r="J21" s="4" t="n">
        <v>9000</v>
      </c>
      <c r="K21" s="4" t="n">
        <v>17600</v>
      </c>
      <c r="L21" s="2" t="inlineStr">
        <is>
          <t>実売の参考（税込）</t>
        </is>
      </c>
      <c r="M21" s="2" t="inlineStr">
        <is>
          <t>あり</t>
        </is>
      </c>
      <c r="N21" s="2" t="inlineStr">
        <is>
          <t>NPG-67 C</t>
        </is>
      </c>
      <c r="O21" s="5">
        <f>IF($N21="","—",IF(COUNTIF(台帳マスタ!$A:$A,$N21)&gt;0,"登録あり","未登録"))</f>
        <v/>
      </c>
      <c r="P21" s="3" t="inlineStr">
        <is>
          <t>純正。4色セットの例 54,180 円（税別）</t>
        </is>
      </c>
      <c r="Q21" s="2" t="inlineStr">
        <is>
          <t>S20</t>
        </is>
      </c>
    </row>
    <row r="22">
      <c r="A22" s="2" t="n">
        <v>21</v>
      </c>
      <c r="B22" s="2" t="inlineStr">
        <is>
          <t>Canon</t>
        </is>
      </c>
      <c r="C22" s="2" t="inlineStr">
        <is>
          <t>Canon iR-ADV C3530F</t>
        </is>
      </c>
      <c r="D22" s="2" t="n">
        <v>4</v>
      </c>
      <c r="E22" s="2" t="inlineStr">
        <is>
          <t>トナー</t>
        </is>
      </c>
      <c r="F22" s="2" t="inlineStr">
        <is>
          <t>マゼンタ</t>
        </is>
      </c>
      <c r="G22" s="3" t="inlineStr">
        <is>
          <t>トナーカートリッジ NPG-67 マゼンタ</t>
        </is>
      </c>
      <c r="H22" s="2" t="inlineStr">
        <is>
          <t>NPG-67 M</t>
        </is>
      </c>
      <c r="I22" s="2" t="inlineStr"/>
      <c r="J22" s="4" t="n">
        <v>9000</v>
      </c>
      <c r="K22" s="4" t="n">
        <v>17600</v>
      </c>
      <c r="L22" s="2" t="inlineStr">
        <is>
          <t>実売の参考（税込）</t>
        </is>
      </c>
      <c r="M22" s="2" t="inlineStr">
        <is>
          <t>あり</t>
        </is>
      </c>
      <c r="N22" s="2" t="inlineStr">
        <is>
          <t>NPG-67 M</t>
        </is>
      </c>
      <c r="O22" s="5">
        <f>IF($N22="","—",IF(COUNTIF(台帳マスタ!$A:$A,$N22)&gt;0,"登録あり","未登録"))</f>
        <v/>
      </c>
      <c r="P22" s="3" t="inlineStr">
        <is>
          <t>純正。4色セットの例 54,180 円（税別）</t>
        </is>
      </c>
      <c r="Q22" s="2" t="inlineStr">
        <is>
          <t>S20</t>
        </is>
      </c>
    </row>
    <row r="23">
      <c r="A23" s="2" t="n">
        <v>22</v>
      </c>
      <c r="B23" s="2" t="inlineStr">
        <is>
          <t>Canon</t>
        </is>
      </c>
      <c r="C23" s="2" t="inlineStr">
        <is>
          <t>Canon iR-ADV C3530F</t>
        </is>
      </c>
      <c r="D23" s="2" t="n">
        <v>4</v>
      </c>
      <c r="E23" s="2" t="inlineStr">
        <is>
          <t>トナー</t>
        </is>
      </c>
      <c r="F23" s="2" t="inlineStr">
        <is>
          <t>イエロー</t>
        </is>
      </c>
      <c r="G23" s="3" t="inlineStr">
        <is>
          <t>トナーカートリッジ NPG-67 イエロー</t>
        </is>
      </c>
      <c r="H23" s="2" t="inlineStr">
        <is>
          <t>NPG-67 Y</t>
        </is>
      </c>
      <c r="I23" s="2" t="inlineStr"/>
      <c r="J23" s="4" t="n">
        <v>9000</v>
      </c>
      <c r="K23" s="4" t="n">
        <v>17600</v>
      </c>
      <c r="L23" s="2" t="inlineStr">
        <is>
          <t>実売の参考（税込）</t>
        </is>
      </c>
      <c r="M23" s="2" t="inlineStr">
        <is>
          <t>あり</t>
        </is>
      </c>
      <c r="N23" s="2" t="inlineStr">
        <is>
          <t>NPG-67 Y</t>
        </is>
      </c>
      <c r="O23" s="5">
        <f>IF($N23="","—",IF(COUNTIF(台帳マスタ!$A:$A,$N23)&gt;0,"登録あり","未登録"))</f>
        <v/>
      </c>
      <c r="P23" s="3" t="inlineStr">
        <is>
          <t>純正。4色セットの例 54,180 円（税別）</t>
        </is>
      </c>
      <c r="Q23" s="2" t="inlineStr">
        <is>
          <t>S20</t>
        </is>
      </c>
    </row>
    <row r="24">
      <c r="A24" s="2" t="n">
        <v>23</v>
      </c>
      <c r="B24" s="2" t="inlineStr">
        <is>
          <t>Canon</t>
        </is>
      </c>
      <c r="C24" s="2" t="inlineStr">
        <is>
          <t>Canon iR-ADV C3530F</t>
        </is>
      </c>
      <c r="D24" s="2" t="n">
        <v>4</v>
      </c>
      <c r="E24" s="2" t="inlineStr">
        <is>
          <t>廃トナー</t>
        </is>
      </c>
      <c r="F24" s="2" t="inlineStr">
        <is>
          <t>—</t>
        </is>
      </c>
      <c r="G24" s="3" t="inlineStr">
        <is>
          <t>回収トナー容器 WT-202</t>
        </is>
      </c>
      <c r="H24" s="2" t="inlineStr">
        <is>
          <t>WT-202</t>
        </is>
      </c>
      <c r="I24" s="2" t="inlineStr"/>
      <c r="J24" s="4" t="n">
        <v>100000</v>
      </c>
      <c r="K24" s="4" t="n">
        <v>8800</v>
      </c>
      <c r="L24" s="2" t="inlineStr">
        <is>
          <t>実売の参考（税込）</t>
        </is>
      </c>
      <c r="M24" s="2" t="inlineStr">
        <is>
          <t>あり</t>
        </is>
      </c>
      <c r="N24" s="2" t="inlineStr">
        <is>
          <t>WT-202</t>
        </is>
      </c>
      <c r="O24" s="5">
        <f>IF($N24="","—",IF(COUNTIF(台帳マスタ!$A:$A,$N24)&gt;0,"登録あり","未登録"))</f>
        <v/>
      </c>
      <c r="P24" s="3" t="inlineStr">
        <is>
          <t>約10万枚で交換。7,700〜9,780 円の実売例</t>
        </is>
      </c>
      <c r="Q24" s="2" t="inlineStr">
        <is>
          <t>S21</t>
        </is>
      </c>
    </row>
    <row r="25">
      <c r="A25" s="2" t="n">
        <v>24</v>
      </c>
      <c r="B25" s="2" t="inlineStr">
        <is>
          <t>Canon</t>
        </is>
      </c>
      <c r="C25" s="2" t="inlineStr">
        <is>
          <t>Canon iR-ADV C3530F</t>
        </is>
      </c>
      <c r="D25" s="2" t="n">
        <v>4</v>
      </c>
      <c r="E25" s="2" t="inlineStr">
        <is>
          <t>ドラム</t>
        </is>
      </c>
      <c r="F25" s="2" t="inlineStr">
        <is>
          <t>各色共通</t>
        </is>
      </c>
      <c r="G25" s="3" t="inlineStr">
        <is>
          <t>ドラムユニット NPG-67（海外名 GPR-53）</t>
        </is>
      </c>
      <c r="H25" s="2" t="inlineStr">
        <is>
          <t>NPG-67 ドラム</t>
        </is>
      </c>
      <c r="I25" s="2" t="inlineStr"/>
      <c r="J25" s="4" t="n">
        <v>72600</v>
      </c>
      <c r="K25" s="4" t="n"/>
      <c r="L25" s="2" t="inlineStr">
        <is>
          <t>実売の参考（税込）</t>
        </is>
      </c>
      <c r="M25" s="2" t="inlineStr">
        <is>
          <t>あり</t>
        </is>
      </c>
      <c r="N25" s="2" t="inlineStr">
        <is>
          <t>NPG-67 ドラム</t>
        </is>
      </c>
      <c r="O25" s="5">
        <f>IF($N25="","—",IF(COUNTIF(台帳マスタ!$A:$A,$N25)&gt;0,"登録あり","未登録"))</f>
        <v/>
      </c>
      <c r="P25" s="3" t="inlineStr">
        <is>
          <t>国内は保守契約でのサービス交換が基本。輸入純正が流通</t>
        </is>
      </c>
      <c r="Q25" s="2" t="inlineStr">
        <is>
          <t>S22</t>
        </is>
      </c>
    </row>
    <row r="26">
      <c r="A26" s="2" t="n">
        <v>25</v>
      </c>
      <c r="B26" s="2" t="inlineStr">
        <is>
          <t>Canon</t>
        </is>
      </c>
      <c r="C26" s="2" t="inlineStr">
        <is>
          <t>Canon LBP-6710</t>
        </is>
      </c>
      <c r="D26" s="2" t="n">
        <v>1</v>
      </c>
      <c r="E26" s="2" t="inlineStr">
        <is>
          <t>トナー</t>
        </is>
      </c>
      <c r="F26" s="2" t="inlineStr">
        <is>
          <t>ブラック</t>
        </is>
      </c>
      <c r="G26" s="3" t="inlineStr">
        <is>
          <t>トナーカートリッジ524</t>
        </is>
      </c>
      <c r="H26" s="2" t="inlineStr">
        <is>
          <t>CRG-524</t>
        </is>
      </c>
      <c r="I26" s="2" t="inlineStr">
        <is>
          <t>3481B004</t>
        </is>
      </c>
      <c r="J26" s="4" t="n">
        <v>6000</v>
      </c>
      <c r="K26" s="4" t="n"/>
      <c r="L26" s="2" t="inlineStr">
        <is>
          <t>直販価格（税込）</t>
        </is>
      </c>
      <c r="M26" s="2" t="inlineStr">
        <is>
          <t>あり</t>
        </is>
      </c>
      <c r="N26" s="2" t="inlineStr">
        <is>
          <t>カートリッジ524</t>
        </is>
      </c>
      <c r="O26" s="5">
        <f>IF($N26="","—",IF(COUNTIF(台帳マスタ!$A:$A,$N26)&gt;0,"登録あり","未登録"))</f>
        <v/>
      </c>
      <c r="P26" s="3" t="inlineStr">
        <is>
          <t>ドラム一体型</t>
        </is>
      </c>
      <c r="Q26" s="2" t="inlineStr">
        <is>
          <t>S17</t>
        </is>
      </c>
    </row>
    <row r="27">
      <c r="A27" s="2" t="n">
        <v>26</v>
      </c>
      <c r="B27" s="2" t="inlineStr">
        <is>
          <t>Canon</t>
        </is>
      </c>
      <c r="C27" s="2" t="inlineStr">
        <is>
          <t>Canon LBP-6710</t>
        </is>
      </c>
      <c r="D27" s="2" t="n">
        <v>1</v>
      </c>
      <c r="E27" s="2" t="inlineStr">
        <is>
          <t>トナー</t>
        </is>
      </c>
      <c r="F27" s="2" t="inlineStr">
        <is>
          <t>ブラック</t>
        </is>
      </c>
      <c r="G27" s="3" t="inlineStr">
        <is>
          <t>トナーカートリッジ524II（大容量）</t>
        </is>
      </c>
      <c r="H27" s="2" t="inlineStr">
        <is>
          <t>CRG-524II</t>
        </is>
      </c>
      <c r="I27" s="2" t="inlineStr">
        <is>
          <t>3482B004</t>
        </is>
      </c>
      <c r="J27" s="4" t="n">
        <v>12500</v>
      </c>
      <c r="K27" s="4" t="n">
        <v>52800</v>
      </c>
      <c r="L27" s="2" t="inlineStr">
        <is>
          <t>直販価格（税込）</t>
        </is>
      </c>
      <c r="M27" s="2" t="inlineStr">
        <is>
          <t>あり</t>
        </is>
      </c>
      <c r="N27" s="2" t="inlineStr">
        <is>
          <t>CRG-524II</t>
        </is>
      </c>
      <c r="O27" s="5">
        <f>IF($N27="","—",IF(COUNTIF(台帳マスタ!$A:$A,$N27)&gt;0,"登録あり","未登録"))</f>
        <v/>
      </c>
      <c r="P27" s="3" t="inlineStr">
        <is>
          <t>ドラム一体型。キヤノンオンラインショップ価格</t>
        </is>
      </c>
      <c r="Q27" s="2" t="inlineStr">
        <is>
          <t>S18</t>
        </is>
      </c>
    </row>
    <row r="28">
      <c r="A28" s="2" t="n">
        <v>27</v>
      </c>
      <c r="B28" s="2" t="inlineStr">
        <is>
          <t>Canon</t>
        </is>
      </c>
      <c r="C28" s="2" t="inlineStr">
        <is>
          <t>Canon LBP-6710</t>
        </is>
      </c>
      <c r="D28" s="2" t="n">
        <v>1</v>
      </c>
      <c r="E28" s="2" t="inlineStr">
        <is>
          <t>ドラム</t>
        </is>
      </c>
      <c r="F28" s="2" t="inlineStr">
        <is>
          <t>—</t>
        </is>
      </c>
      <c r="G28" s="3" t="inlineStr">
        <is>
          <t>（別売の感光体なし・カートリッジ一体型）</t>
        </is>
      </c>
      <c r="H28" s="2" t="inlineStr">
        <is>
          <t>—</t>
        </is>
      </c>
      <c r="I28" s="2" t="inlineStr"/>
      <c r="J28" s="4" t="n"/>
      <c r="K28" s="4" t="n"/>
      <c r="L28" s="2" t="inlineStr">
        <is>
          <t>—</t>
        </is>
      </c>
      <c r="M28" s="2" t="inlineStr">
        <is>
          <t>あり</t>
        </is>
      </c>
      <c r="N28" s="2" t="inlineStr"/>
      <c r="O28" s="5">
        <f>IF($N28="","—",IF(COUNTIF(台帳マスタ!$A:$A,$N28)&gt;0,"登録あり","未登録"))</f>
        <v/>
      </c>
      <c r="P28" s="3" t="inlineStr">
        <is>
          <t>この機種はドラム別売なし</t>
        </is>
      </c>
      <c r="Q28" s="2" t="inlineStr">
        <is>
          <t>S17</t>
        </is>
      </c>
    </row>
    <row r="29">
      <c r="A29" s="2" t="n">
        <v>28</v>
      </c>
      <c r="B29" s="2" t="inlineStr">
        <is>
          <t>EPSON</t>
        </is>
      </c>
      <c r="C29" s="2" t="inlineStr">
        <is>
          <t>EPSON PX-M791FT</t>
        </is>
      </c>
      <c r="D29" s="2" t="n">
        <v>3</v>
      </c>
      <c r="E29" s="2" t="inlineStr">
        <is>
          <t>インク</t>
        </is>
      </c>
      <c r="F29" s="2" t="inlineStr">
        <is>
          <t>ブラック</t>
        </is>
      </c>
      <c r="G29" s="3" t="inlineStr">
        <is>
          <t>インクボトル IT08KA（127ml）</t>
        </is>
      </c>
      <c r="H29" s="2" t="inlineStr">
        <is>
          <t>IT08KA</t>
        </is>
      </c>
      <c r="I29" s="2" t="inlineStr"/>
      <c r="J29" s="4" t="n">
        <v>7500</v>
      </c>
      <c r="K29" s="4" t="n"/>
      <c r="L29" s="2" t="inlineStr">
        <is>
          <t>オープン価格</t>
        </is>
      </c>
      <c r="M29" s="2" t="inlineStr">
        <is>
          <t>あり（互換）</t>
        </is>
      </c>
      <c r="N29" s="2" t="inlineStr">
        <is>
          <t>IT08KA</t>
        </is>
      </c>
      <c r="O29" s="5">
        <f>IF($N29="","—",IF(COUNTIF(台帳マスタ!$A:$A,$N29)&gt;0,"登録あり","未登録"))</f>
        <v/>
      </c>
      <c r="P29" s="3" t="inlineStr"/>
      <c r="Q29" s="2" t="inlineStr">
        <is>
          <t>S12</t>
        </is>
      </c>
    </row>
    <row r="30">
      <c r="A30" s="2" t="n">
        <v>29</v>
      </c>
      <c r="B30" s="2" t="inlineStr">
        <is>
          <t>EPSON</t>
        </is>
      </c>
      <c r="C30" s="2" t="inlineStr">
        <is>
          <t>EPSON PX-M791FT</t>
        </is>
      </c>
      <c r="D30" s="2" t="n">
        <v>3</v>
      </c>
      <c r="E30" s="2" t="inlineStr">
        <is>
          <t>インク</t>
        </is>
      </c>
      <c r="F30" s="2" t="inlineStr">
        <is>
          <t>シアン</t>
        </is>
      </c>
      <c r="G30" s="3" t="inlineStr">
        <is>
          <t>インクボトル IT08CA（70ml）</t>
        </is>
      </c>
      <c r="H30" s="2" t="inlineStr">
        <is>
          <t>IT08CA</t>
        </is>
      </c>
      <c r="I30" s="2" t="inlineStr"/>
      <c r="J30" s="4" t="n">
        <v>6000</v>
      </c>
      <c r="K30" s="4" t="n"/>
      <c r="L30" s="2" t="inlineStr">
        <is>
          <t>オープン価格</t>
        </is>
      </c>
      <c r="M30" s="2" t="inlineStr">
        <is>
          <t>あり（互換）</t>
        </is>
      </c>
      <c r="N30" s="2" t="inlineStr">
        <is>
          <t>IT08CA</t>
        </is>
      </c>
      <c r="O30" s="5">
        <f>IF($N30="","—",IF(COUNTIF(台帳マスタ!$A:$A,$N30)&gt;0,"登録あり","未登録"))</f>
        <v/>
      </c>
      <c r="P30" s="3" t="inlineStr"/>
      <c r="Q30" s="2" t="inlineStr">
        <is>
          <t>S12</t>
        </is>
      </c>
    </row>
    <row r="31">
      <c r="A31" s="2" t="n">
        <v>30</v>
      </c>
      <c r="B31" s="2" t="inlineStr">
        <is>
          <t>EPSON</t>
        </is>
      </c>
      <c r="C31" s="2" t="inlineStr">
        <is>
          <t>EPSON PX-M791FT</t>
        </is>
      </c>
      <c r="D31" s="2" t="n">
        <v>3</v>
      </c>
      <c r="E31" s="2" t="inlineStr">
        <is>
          <t>インク</t>
        </is>
      </c>
      <c r="F31" s="2" t="inlineStr">
        <is>
          <t>マゼンタ</t>
        </is>
      </c>
      <c r="G31" s="3" t="inlineStr">
        <is>
          <t>インクボトル IT08MA（70ml）</t>
        </is>
      </c>
      <c r="H31" s="2" t="inlineStr">
        <is>
          <t>IT08MA</t>
        </is>
      </c>
      <c r="I31" s="2" t="inlineStr"/>
      <c r="J31" s="4" t="n">
        <v>6000</v>
      </c>
      <c r="K31" s="4" t="n"/>
      <c r="L31" s="2" t="inlineStr">
        <is>
          <t>オープン価格</t>
        </is>
      </c>
      <c r="M31" s="2" t="inlineStr">
        <is>
          <t>あり（互換）</t>
        </is>
      </c>
      <c r="N31" s="2" t="inlineStr">
        <is>
          <t>IT08MA</t>
        </is>
      </c>
      <c r="O31" s="5">
        <f>IF($N31="","—",IF(COUNTIF(台帳マスタ!$A:$A,$N31)&gt;0,"登録あり","未登録"))</f>
        <v/>
      </c>
      <c r="P31" s="3" t="inlineStr"/>
      <c r="Q31" s="2" t="inlineStr">
        <is>
          <t>S12</t>
        </is>
      </c>
    </row>
    <row r="32">
      <c r="A32" s="2" t="n">
        <v>31</v>
      </c>
      <c r="B32" s="2" t="inlineStr">
        <is>
          <t>EPSON</t>
        </is>
      </c>
      <c r="C32" s="2" t="inlineStr">
        <is>
          <t>EPSON PX-M791FT</t>
        </is>
      </c>
      <c r="D32" s="2" t="n">
        <v>3</v>
      </c>
      <c r="E32" s="2" t="inlineStr">
        <is>
          <t>インク</t>
        </is>
      </c>
      <c r="F32" s="2" t="inlineStr">
        <is>
          <t>イエロー</t>
        </is>
      </c>
      <c r="G32" s="3" t="inlineStr">
        <is>
          <t>インクボトル IT08YA（70ml）</t>
        </is>
      </c>
      <c r="H32" s="2" t="inlineStr">
        <is>
          <t>IT08YA</t>
        </is>
      </c>
      <c r="I32" s="2" t="inlineStr"/>
      <c r="J32" s="4" t="n">
        <v>6000</v>
      </c>
      <c r="K32" s="4" t="n"/>
      <c r="L32" s="2" t="inlineStr">
        <is>
          <t>オープン価格</t>
        </is>
      </c>
      <c r="M32" s="2" t="inlineStr">
        <is>
          <t>あり（互換）</t>
        </is>
      </c>
      <c r="N32" s="2" t="inlineStr">
        <is>
          <t>IT08YA</t>
        </is>
      </c>
      <c r="O32" s="5">
        <f>IF($N32="","—",IF(COUNTIF(台帳マスタ!$A:$A,$N32)&gt;0,"登録あり","未登録"))</f>
        <v/>
      </c>
      <c r="P32" s="3" t="inlineStr"/>
      <c r="Q32" s="2" t="inlineStr">
        <is>
          <t>S12</t>
        </is>
      </c>
    </row>
    <row r="33">
      <c r="A33" s="2" t="n">
        <v>32</v>
      </c>
      <c r="B33" s="2" t="inlineStr">
        <is>
          <t>EPSON</t>
        </is>
      </c>
      <c r="C33" s="2" t="inlineStr">
        <is>
          <t>EPSON PX-M791FT</t>
        </is>
      </c>
      <c r="D33" s="2" t="n">
        <v>3</v>
      </c>
      <c r="E33" s="2" t="inlineStr">
        <is>
          <t>メンテナンス</t>
        </is>
      </c>
      <c r="F33" s="2" t="inlineStr">
        <is>
          <t>—</t>
        </is>
      </c>
      <c r="G33" s="3" t="inlineStr">
        <is>
          <t>メンテナンスボックス PXMB9</t>
        </is>
      </c>
      <c r="H33" s="2" t="inlineStr">
        <is>
          <t>PXMB9</t>
        </is>
      </c>
      <c r="I33" s="2" t="inlineStr"/>
      <c r="J33" s="4" t="n"/>
      <c r="K33" s="4" t="n"/>
      <c r="L33" s="2" t="inlineStr">
        <is>
          <t>オープン価格</t>
        </is>
      </c>
      <c r="M33" s="2" t="inlineStr">
        <is>
          <t>あり（互換）</t>
        </is>
      </c>
      <c r="N33" s="2" t="inlineStr">
        <is>
          <t>PXMB9</t>
        </is>
      </c>
      <c r="O33" s="5">
        <f>IF($N33="","—",IF(COUNTIF(台帳マスタ!$A:$A,$N33)&gt;0,"登録あり","未登録"))</f>
        <v/>
      </c>
      <c r="P33" s="3" t="inlineStr">
        <is>
          <t>廃インク吸収体</t>
        </is>
      </c>
      <c r="Q33" s="2" t="inlineStr">
        <is>
          <t>S12</t>
        </is>
      </c>
    </row>
    <row r="34">
      <c r="A34" s="2" t="n">
        <v>33</v>
      </c>
      <c r="B34" s="2" t="inlineStr">
        <is>
          <t>EPSON</t>
        </is>
      </c>
      <c r="C34" s="2" t="inlineStr">
        <is>
          <t>EPSON PX-S381</t>
        </is>
      </c>
      <c r="D34" s="2" t="n">
        <v>1</v>
      </c>
      <c r="E34" s="2" t="inlineStr">
        <is>
          <t>インク</t>
        </is>
      </c>
      <c r="F34" s="2" t="inlineStr">
        <is>
          <t>ブラック</t>
        </is>
      </c>
      <c r="G34" s="3" t="inlineStr">
        <is>
          <t>インクパック IP04KA（795ml）</t>
        </is>
      </c>
      <c r="H34" s="2" t="inlineStr">
        <is>
          <t>IP04KA</t>
        </is>
      </c>
      <c r="I34" s="2" t="inlineStr"/>
      <c r="J34" s="4" t="n">
        <v>40000</v>
      </c>
      <c r="K34" s="4" t="n"/>
      <c r="L34" s="2" t="inlineStr">
        <is>
          <t>オープン価格</t>
        </is>
      </c>
      <c r="M34" s="2" t="inlineStr">
        <is>
          <t>あり（互換）</t>
        </is>
      </c>
      <c r="N34" s="2" t="inlineStr">
        <is>
          <t>IP04KA</t>
        </is>
      </c>
      <c r="O34" s="5">
        <f>IF($N34="","—",IF(COUNTIF(台帳マスタ!$A:$A,$N34)&gt;0,"登録あり","未登録"))</f>
        <v/>
      </c>
      <c r="P34" s="3" t="inlineStr">
        <is>
          <t>PX-M381FL/PX-S381L 用</t>
        </is>
      </c>
      <c r="Q34" s="2" t="inlineStr">
        <is>
          <t>S13</t>
        </is>
      </c>
    </row>
    <row r="35">
      <c r="A35" s="2" t="n">
        <v>34</v>
      </c>
      <c r="B35" s="2" t="inlineStr">
        <is>
          <t>EPSON</t>
        </is>
      </c>
      <c r="C35" s="2" t="inlineStr">
        <is>
          <t>EPSON PX-S381</t>
        </is>
      </c>
      <c r="D35" s="2" t="n">
        <v>1</v>
      </c>
      <c r="E35" s="2" t="inlineStr">
        <is>
          <t>インク</t>
        </is>
      </c>
      <c r="F35" s="2" t="inlineStr">
        <is>
          <t>ブラック</t>
        </is>
      </c>
      <c r="G35" s="3" t="inlineStr">
        <is>
          <t>インクパック IP03KB（旧型・使用可）</t>
        </is>
      </c>
      <c r="H35" s="2" t="inlineStr">
        <is>
          <t>IP03KB</t>
        </is>
      </c>
      <c r="I35" s="2" t="inlineStr"/>
      <c r="J35" s="4" t="n"/>
      <c r="K35" s="4" t="n"/>
      <c r="L35" s="2" t="inlineStr">
        <is>
          <t>オープン価格</t>
        </is>
      </c>
      <c r="M35" s="2" t="inlineStr">
        <is>
          <t>あり（互換）</t>
        </is>
      </c>
      <c r="N35" s="2" t="inlineStr">
        <is>
          <t>IP03KB</t>
        </is>
      </c>
      <c r="O35" s="5">
        <f>IF($N35="","—",IF(COUNTIF(台帳マスタ!$A:$A,$N35)&gt;0,"登録あり","未登録"))</f>
        <v/>
      </c>
      <c r="P35" s="3" t="inlineStr">
        <is>
          <t>旧機種用だが引き続き使用可</t>
        </is>
      </c>
      <c r="Q35" s="2" t="inlineStr">
        <is>
          <t>S13</t>
        </is>
      </c>
    </row>
    <row r="36">
      <c r="A36" s="2" t="n">
        <v>35</v>
      </c>
      <c r="B36" s="2" t="inlineStr">
        <is>
          <t>EPSON</t>
        </is>
      </c>
      <c r="C36" s="2" t="inlineStr">
        <is>
          <t>EPSON PX-S381</t>
        </is>
      </c>
      <c r="D36" s="2" t="n">
        <v>1</v>
      </c>
      <c r="E36" s="2" t="inlineStr">
        <is>
          <t>メンテナンス</t>
        </is>
      </c>
      <c r="F36" s="2" t="inlineStr">
        <is>
          <t>—</t>
        </is>
      </c>
      <c r="G36" s="3" t="inlineStr">
        <is>
          <t>メンテナンスボックス PXMB8</t>
        </is>
      </c>
      <c r="H36" s="2" t="inlineStr">
        <is>
          <t>PXMB8</t>
        </is>
      </c>
      <c r="I36" s="2" t="inlineStr"/>
      <c r="J36" s="4" t="n"/>
      <c r="K36" s="4" t="n"/>
      <c r="L36" s="2" t="inlineStr">
        <is>
          <t>オープン価格</t>
        </is>
      </c>
      <c r="M36" s="2" t="inlineStr">
        <is>
          <t>あり（互換）</t>
        </is>
      </c>
      <c r="N36" s="2" t="inlineStr">
        <is>
          <t>PXMB8</t>
        </is>
      </c>
      <c r="O36" s="5">
        <f>IF($N36="","—",IF(COUNTIF(台帳マスタ!$A:$A,$N36)&gt;0,"登録あり","未登録"))</f>
        <v/>
      </c>
      <c r="P36" s="3" t="inlineStr"/>
      <c r="Q36" s="2" t="inlineStr">
        <is>
          <t>S13</t>
        </is>
      </c>
    </row>
    <row r="37">
      <c r="A37" s="2" t="n">
        <v>36</v>
      </c>
      <c r="B37" s="2" t="inlineStr">
        <is>
          <t>EPSON</t>
        </is>
      </c>
      <c r="C37" s="2" t="inlineStr">
        <is>
          <t>EPSON PX-S381L</t>
        </is>
      </c>
      <c r="D37" s="2" t="n">
        <v>4</v>
      </c>
      <c r="E37" s="2" t="inlineStr">
        <is>
          <t>インク</t>
        </is>
      </c>
      <c r="F37" s="2" t="inlineStr">
        <is>
          <t>ブラック</t>
        </is>
      </c>
      <c r="G37" s="3" t="inlineStr">
        <is>
          <t>インクパック IP04KA（795ml）</t>
        </is>
      </c>
      <c r="H37" s="2" t="inlineStr">
        <is>
          <t>IP04KA</t>
        </is>
      </c>
      <c r="I37" s="2" t="inlineStr"/>
      <c r="J37" s="4" t="n">
        <v>40000</v>
      </c>
      <c r="K37" s="4" t="n"/>
      <c r="L37" s="2" t="inlineStr">
        <is>
          <t>オープン価格</t>
        </is>
      </c>
      <c r="M37" s="2" t="inlineStr">
        <is>
          <t>あり（互換）</t>
        </is>
      </c>
      <c r="N37" s="2" t="inlineStr">
        <is>
          <t>IP04KA</t>
        </is>
      </c>
      <c r="O37" s="5">
        <f>IF($N37="","—",IF(COUNTIF(台帳マスタ!$A:$A,$N37)&gt;0,"登録あり","未登録"))</f>
        <v/>
      </c>
      <c r="P37" s="3" t="inlineStr">
        <is>
          <t>PX-M381FL/PX-S381L 用</t>
        </is>
      </c>
      <c r="Q37" s="2" t="inlineStr">
        <is>
          <t>S13</t>
        </is>
      </c>
    </row>
    <row r="38">
      <c r="A38" s="2" t="n">
        <v>37</v>
      </c>
      <c r="B38" s="2" t="inlineStr">
        <is>
          <t>EPSON</t>
        </is>
      </c>
      <c r="C38" s="2" t="inlineStr">
        <is>
          <t>EPSON PX-S381L</t>
        </is>
      </c>
      <c r="D38" s="2" t="n">
        <v>4</v>
      </c>
      <c r="E38" s="2" t="inlineStr">
        <is>
          <t>インク</t>
        </is>
      </c>
      <c r="F38" s="2" t="inlineStr">
        <is>
          <t>ブラック</t>
        </is>
      </c>
      <c r="G38" s="3" t="inlineStr">
        <is>
          <t>インクパック IP03KB（旧型・使用可）</t>
        </is>
      </c>
      <c r="H38" s="2" t="inlineStr">
        <is>
          <t>IP03KB</t>
        </is>
      </c>
      <c r="I38" s="2" t="inlineStr"/>
      <c r="J38" s="4" t="n"/>
      <c r="K38" s="4" t="n"/>
      <c r="L38" s="2" t="inlineStr">
        <is>
          <t>オープン価格</t>
        </is>
      </c>
      <c r="M38" s="2" t="inlineStr">
        <is>
          <t>あり（互換）</t>
        </is>
      </c>
      <c r="N38" s="2" t="inlineStr">
        <is>
          <t>IP03KB</t>
        </is>
      </c>
      <c r="O38" s="5">
        <f>IF($N38="","—",IF(COUNTIF(台帳マスタ!$A:$A,$N38)&gt;0,"登録あり","未登録"))</f>
        <v/>
      </c>
      <c r="P38" s="3" t="inlineStr">
        <is>
          <t>旧機種用だが引き続き使用可</t>
        </is>
      </c>
      <c r="Q38" s="2" t="inlineStr">
        <is>
          <t>S13</t>
        </is>
      </c>
    </row>
    <row r="39">
      <c r="A39" s="2" t="n">
        <v>38</v>
      </c>
      <c r="B39" s="2" t="inlineStr">
        <is>
          <t>EPSON</t>
        </is>
      </c>
      <c r="C39" s="2" t="inlineStr">
        <is>
          <t>EPSON PX-S381L</t>
        </is>
      </c>
      <c r="D39" s="2" t="n">
        <v>4</v>
      </c>
      <c r="E39" s="2" t="inlineStr">
        <is>
          <t>メンテナンス</t>
        </is>
      </c>
      <c r="F39" s="2" t="inlineStr">
        <is>
          <t>—</t>
        </is>
      </c>
      <c r="G39" s="3" t="inlineStr">
        <is>
          <t>メンテナンスボックス PXMB8</t>
        </is>
      </c>
      <c r="H39" s="2" t="inlineStr">
        <is>
          <t>PXMB8</t>
        </is>
      </c>
      <c r="I39" s="2" t="inlineStr"/>
      <c r="J39" s="4" t="n"/>
      <c r="K39" s="4" t="n"/>
      <c r="L39" s="2" t="inlineStr">
        <is>
          <t>オープン価格</t>
        </is>
      </c>
      <c r="M39" s="2" t="inlineStr">
        <is>
          <t>あり（互換）</t>
        </is>
      </c>
      <c r="N39" s="2" t="inlineStr">
        <is>
          <t>PXMB8</t>
        </is>
      </c>
      <c r="O39" s="5">
        <f>IF($N39="","—",IF(COUNTIF(台帳マスタ!$A:$A,$N39)&gt;0,"登録あり","未登録"))</f>
        <v/>
      </c>
      <c r="P39" s="3" t="inlineStr"/>
      <c r="Q39" s="2" t="inlineStr">
        <is>
          <t>S13</t>
        </is>
      </c>
    </row>
    <row r="40">
      <c r="A40" s="2" t="n">
        <v>39</v>
      </c>
      <c r="B40" s="2" t="inlineStr">
        <is>
          <t>FUJITSU</t>
        </is>
      </c>
      <c r="C40" s="2" t="inlineStr">
        <is>
          <t>FUJITSU XL-9322</t>
        </is>
      </c>
      <c r="D40" s="2" t="n">
        <v>1</v>
      </c>
      <c r="E40" s="2" t="inlineStr">
        <is>
          <t>トナー</t>
        </is>
      </c>
      <c r="F40" s="2" t="inlineStr">
        <is>
          <t>ブラック</t>
        </is>
      </c>
      <c r="G40" s="3" t="inlineStr">
        <is>
          <t>トナーカートリッジ LB321A（標準）</t>
        </is>
      </c>
      <c r="H40" s="2" t="inlineStr">
        <is>
          <t>LB321A</t>
        </is>
      </c>
      <c r="I40" s="2" t="inlineStr"/>
      <c r="J40" s="4" t="n">
        <v>6000</v>
      </c>
      <c r="K40" s="4" t="n">
        <v>35970</v>
      </c>
      <c r="L40" s="2" t="inlineStr">
        <is>
          <t>実売の参考（税込）</t>
        </is>
      </c>
      <c r="M40" s="2" t="inlineStr">
        <is>
          <t>あり</t>
        </is>
      </c>
      <c r="N40" s="2" t="inlineStr">
        <is>
          <t>LB321A</t>
        </is>
      </c>
      <c r="O40" s="5">
        <f>IF($N40="","—",IF(COUNTIF(台帳マスタ!$A:$A,$N40)&gt;0,"登録あり","未登録"))</f>
        <v/>
      </c>
      <c r="P40" s="3" t="inlineStr">
        <is>
          <t>メーカー希望小売価格</t>
        </is>
      </c>
      <c r="Q40" s="2" t="inlineStr">
        <is>
          <t>S23</t>
        </is>
      </c>
    </row>
    <row r="41">
      <c r="A41" s="2" t="n">
        <v>40</v>
      </c>
      <c r="B41" s="2" t="inlineStr">
        <is>
          <t>FUJITSU</t>
        </is>
      </c>
      <c r="C41" s="2" t="inlineStr">
        <is>
          <t>FUJITSU XL-9322</t>
        </is>
      </c>
      <c r="D41" s="2" t="n">
        <v>1</v>
      </c>
      <c r="E41" s="2" t="inlineStr">
        <is>
          <t>トナー</t>
        </is>
      </c>
      <c r="F41" s="2" t="inlineStr">
        <is>
          <t>ブラック</t>
        </is>
      </c>
      <c r="G41" s="3" t="inlineStr">
        <is>
          <t>トナーカートリッジ LB321M（大容量）</t>
        </is>
      </c>
      <c r="H41" s="2" t="inlineStr">
        <is>
          <t>LB321M</t>
        </is>
      </c>
      <c r="I41" s="2" t="inlineStr"/>
      <c r="J41" s="4" t="n">
        <v>10000</v>
      </c>
      <c r="K41" s="4" t="n">
        <v>46750</v>
      </c>
      <c r="L41" s="2" t="inlineStr">
        <is>
          <t>実売の参考（税込）</t>
        </is>
      </c>
      <c r="M41" s="2" t="inlineStr">
        <is>
          <t>あり</t>
        </is>
      </c>
      <c r="N41" s="2" t="inlineStr">
        <is>
          <t>LB321B</t>
        </is>
      </c>
      <c r="O41" s="5">
        <f>IF($N41="","—",IF(COUNTIF(台帳マスタ!$A:$A,$N41)&gt;0,"登録あり","未登録"))</f>
        <v/>
      </c>
      <c r="P41" s="3" t="inlineStr">
        <is>
          <t>資料により LB321B 表記もあり。要確認</t>
        </is>
      </c>
      <c r="Q41" s="2" t="inlineStr">
        <is>
          <t>S23</t>
        </is>
      </c>
    </row>
    <row r="42">
      <c r="A42" s="2" t="n">
        <v>41</v>
      </c>
      <c r="B42" s="2" t="inlineStr">
        <is>
          <t>FUJITSU</t>
        </is>
      </c>
      <c r="C42" s="2" t="inlineStr">
        <is>
          <t>FUJITSU XL-9322</t>
        </is>
      </c>
      <c r="D42" s="2" t="n">
        <v>1</v>
      </c>
      <c r="E42" s="2" t="inlineStr">
        <is>
          <t>ドラム</t>
        </is>
      </c>
      <c r="F42" s="2" t="inlineStr">
        <is>
          <t>—</t>
        </is>
      </c>
      <c r="G42" s="3" t="inlineStr">
        <is>
          <t>ドラムカートリッジ LB321</t>
        </is>
      </c>
      <c r="H42" s="2" t="inlineStr">
        <is>
          <t>LB321</t>
        </is>
      </c>
      <c r="I42" s="2" t="inlineStr">
        <is>
          <t>899230</t>
        </is>
      </c>
      <c r="J42" s="4" t="n">
        <v>25000</v>
      </c>
      <c r="K42" s="4" t="n">
        <v>15180</v>
      </c>
      <c r="L42" s="2" t="inlineStr">
        <is>
          <t>実売の参考（税込）</t>
        </is>
      </c>
      <c r="M42" s="2" t="inlineStr">
        <is>
          <t>あり</t>
        </is>
      </c>
      <c r="N42" s="2" t="inlineStr">
        <is>
          <t>LB321</t>
        </is>
      </c>
      <c r="O42" s="5">
        <f>IF($N42="","—",IF(COUNTIF(台帳マスタ!$A:$A,$N42)&gt;0,"登録あり","未登録"))</f>
        <v/>
      </c>
      <c r="P42" s="3" t="inlineStr">
        <is>
          <t>連続印刷時。1ページ/ジョブでは約14,300枚</t>
        </is>
      </c>
      <c r="Q42" s="2" t="inlineStr">
        <is>
          <t>S23</t>
        </is>
      </c>
    </row>
    <row r="43">
      <c r="A43" s="2" t="n">
        <v>42</v>
      </c>
      <c r="B43" s="2" t="inlineStr">
        <is>
          <t>FujiXerox</t>
        </is>
      </c>
      <c r="C43" s="2" t="inlineStr">
        <is>
          <t>FujiXerox DocuPrint CP500 d</t>
        </is>
      </c>
      <c r="D43" s="2" t="n">
        <v>1</v>
      </c>
      <c r="E43" s="2" t="inlineStr">
        <is>
          <t>トナー</t>
        </is>
      </c>
      <c r="F43" s="2" t="inlineStr">
        <is>
          <t>ブラック</t>
        </is>
      </c>
      <c r="G43" s="3" t="inlineStr">
        <is>
          <t>トナーカートリッジ ブラック</t>
        </is>
      </c>
      <c r="H43" s="2" t="inlineStr">
        <is>
          <t>CT203053</t>
        </is>
      </c>
      <c r="I43" s="2" t="inlineStr">
        <is>
          <t>CT203053</t>
        </is>
      </c>
      <c r="J43" s="4" t="n">
        <v>7000</v>
      </c>
      <c r="K43" s="4" t="n">
        <v>24300</v>
      </c>
      <c r="L43" s="2" t="inlineStr">
        <is>
          <t>メーカー標準価格（税別）</t>
        </is>
      </c>
      <c r="M43" s="2" t="inlineStr">
        <is>
          <t>あり</t>
        </is>
      </c>
      <c r="N43" s="2" t="inlineStr">
        <is>
          <t>CT203053</t>
        </is>
      </c>
      <c r="O43" s="5">
        <f>IF($N43="","—",IF(COUNTIF(台帳マスタ!$A:$A,$N43)&gt;0,"登録あり","未登録"))</f>
        <v/>
      </c>
      <c r="P43" s="3" t="inlineStr">
        <is>
          <t>標準容量</t>
        </is>
      </c>
      <c r="Q43" s="2" t="inlineStr">
        <is>
          <t>S11</t>
        </is>
      </c>
    </row>
    <row r="44">
      <c r="A44" s="2" t="n">
        <v>43</v>
      </c>
      <c r="B44" s="2" t="inlineStr">
        <is>
          <t>FujiXerox</t>
        </is>
      </c>
      <c r="C44" s="2" t="inlineStr">
        <is>
          <t>FujiXerox DocuPrint CP500 d</t>
        </is>
      </c>
      <c r="D44" s="2" t="n">
        <v>1</v>
      </c>
      <c r="E44" s="2" t="inlineStr">
        <is>
          <t>トナー</t>
        </is>
      </c>
      <c r="F44" s="2" t="inlineStr">
        <is>
          <t>シアン</t>
        </is>
      </c>
      <c r="G44" s="3" t="inlineStr">
        <is>
          <t>トナーカートリッジ シアン</t>
        </is>
      </c>
      <c r="H44" s="2" t="inlineStr">
        <is>
          <t>CT203054</t>
        </is>
      </c>
      <c r="I44" s="2" t="inlineStr">
        <is>
          <t>CT203054</t>
        </is>
      </c>
      <c r="J44" s="4" t="n">
        <v>5000</v>
      </c>
      <c r="K44" s="4" t="n">
        <v>18500</v>
      </c>
      <c r="L44" s="2" t="inlineStr">
        <is>
          <t>メーカー標準価格（税別）</t>
        </is>
      </c>
      <c r="M44" s="2" t="inlineStr">
        <is>
          <t>あり</t>
        </is>
      </c>
      <c r="N44" s="2" t="inlineStr">
        <is>
          <t>CT203054</t>
        </is>
      </c>
      <c r="O44" s="5">
        <f>IF($N44="","—",IF(COUNTIF(台帳マスタ!$A:$A,$N44)&gt;0,"登録あり","未登録"))</f>
        <v/>
      </c>
      <c r="P44" s="3" t="inlineStr">
        <is>
          <t>標準容量</t>
        </is>
      </c>
      <c r="Q44" s="2" t="inlineStr">
        <is>
          <t>S11</t>
        </is>
      </c>
    </row>
    <row r="45">
      <c r="A45" s="2" t="n">
        <v>44</v>
      </c>
      <c r="B45" s="2" t="inlineStr">
        <is>
          <t>FujiXerox</t>
        </is>
      </c>
      <c r="C45" s="2" t="inlineStr">
        <is>
          <t>FujiXerox DocuPrint CP500 d</t>
        </is>
      </c>
      <c r="D45" s="2" t="n">
        <v>1</v>
      </c>
      <c r="E45" s="2" t="inlineStr">
        <is>
          <t>トナー</t>
        </is>
      </c>
      <c r="F45" s="2" t="inlineStr">
        <is>
          <t>マゼンタ</t>
        </is>
      </c>
      <c r="G45" s="3" t="inlineStr">
        <is>
          <t>トナーカートリッジ マゼンタ</t>
        </is>
      </c>
      <c r="H45" s="2" t="inlineStr">
        <is>
          <t>CT203055</t>
        </is>
      </c>
      <c r="I45" s="2" t="inlineStr">
        <is>
          <t>CT203055</t>
        </is>
      </c>
      <c r="J45" s="4" t="n">
        <v>5000</v>
      </c>
      <c r="K45" s="4" t="n">
        <v>18500</v>
      </c>
      <c r="L45" s="2" t="inlineStr">
        <is>
          <t>メーカー標準価格（税別）</t>
        </is>
      </c>
      <c r="M45" s="2" t="inlineStr">
        <is>
          <t>あり</t>
        </is>
      </c>
      <c r="N45" s="2" t="inlineStr">
        <is>
          <t>CT203055</t>
        </is>
      </c>
      <c r="O45" s="5">
        <f>IF($N45="","—",IF(COUNTIF(台帳マスタ!$A:$A,$N45)&gt;0,"登録あり","未登録"))</f>
        <v/>
      </c>
      <c r="P45" s="3" t="inlineStr">
        <is>
          <t>標準容量</t>
        </is>
      </c>
      <c r="Q45" s="2" t="inlineStr">
        <is>
          <t>S11</t>
        </is>
      </c>
    </row>
    <row r="46">
      <c r="A46" s="2" t="n">
        <v>45</v>
      </c>
      <c r="B46" s="2" t="inlineStr">
        <is>
          <t>FujiXerox</t>
        </is>
      </c>
      <c r="C46" s="2" t="inlineStr">
        <is>
          <t>FujiXerox DocuPrint CP500 d</t>
        </is>
      </c>
      <c r="D46" s="2" t="n">
        <v>1</v>
      </c>
      <c r="E46" s="2" t="inlineStr">
        <is>
          <t>トナー</t>
        </is>
      </c>
      <c r="F46" s="2" t="inlineStr">
        <is>
          <t>イエロー</t>
        </is>
      </c>
      <c r="G46" s="3" t="inlineStr">
        <is>
          <t>トナーカートリッジ イエロー</t>
        </is>
      </c>
      <c r="H46" s="2" t="inlineStr">
        <is>
          <t>CT203056</t>
        </is>
      </c>
      <c r="I46" s="2" t="inlineStr">
        <is>
          <t>CT203056</t>
        </is>
      </c>
      <c r="J46" s="4" t="n">
        <v>5000</v>
      </c>
      <c r="K46" s="4" t="n">
        <v>18500</v>
      </c>
      <c r="L46" s="2" t="inlineStr">
        <is>
          <t>メーカー標準価格（税別）</t>
        </is>
      </c>
      <c r="M46" s="2" t="inlineStr">
        <is>
          <t>あり</t>
        </is>
      </c>
      <c r="N46" s="2" t="inlineStr">
        <is>
          <t>CT203056</t>
        </is>
      </c>
      <c r="O46" s="5">
        <f>IF($N46="","—",IF(COUNTIF(台帳マスタ!$A:$A,$N46)&gt;0,"登録あり","未登録"))</f>
        <v/>
      </c>
      <c r="P46" s="3" t="inlineStr">
        <is>
          <t>標準容量</t>
        </is>
      </c>
      <c r="Q46" s="2" t="inlineStr">
        <is>
          <t>S11</t>
        </is>
      </c>
    </row>
    <row r="47">
      <c r="A47" s="2" t="n">
        <v>46</v>
      </c>
      <c r="B47" s="2" t="inlineStr">
        <is>
          <t>FujiXerox</t>
        </is>
      </c>
      <c r="C47" s="2" t="inlineStr">
        <is>
          <t>FujiXerox DocuPrint CP500 d</t>
        </is>
      </c>
      <c r="D47" s="2" t="n">
        <v>1</v>
      </c>
      <c r="E47" s="2" t="inlineStr">
        <is>
          <t>トナー</t>
        </is>
      </c>
      <c r="F47" s="2" t="inlineStr">
        <is>
          <t>ブラック</t>
        </is>
      </c>
      <c r="G47" s="3" t="inlineStr">
        <is>
          <t>大容量トナーカートリッジ ブラック</t>
        </is>
      </c>
      <c r="H47" s="2" t="inlineStr">
        <is>
          <t>CT203057</t>
        </is>
      </c>
      <c r="I47" s="2" t="inlineStr">
        <is>
          <t>CT203057</t>
        </is>
      </c>
      <c r="J47" s="4" t="n">
        <v>15000</v>
      </c>
      <c r="K47" s="4" t="n">
        <v>46200</v>
      </c>
      <c r="L47" s="2" t="inlineStr">
        <is>
          <t>メーカー標準価格（税別）</t>
        </is>
      </c>
      <c r="M47" s="2" t="inlineStr">
        <is>
          <t>あり</t>
        </is>
      </c>
      <c r="N47" s="2" t="inlineStr">
        <is>
          <t>CT203057</t>
        </is>
      </c>
      <c r="O47" s="5">
        <f>IF($N47="","—",IF(COUNTIF(台帳マスタ!$A:$A,$N47)&gt;0,"登録あり","未登録"))</f>
        <v/>
      </c>
      <c r="P47" s="3" t="inlineStr">
        <is>
          <t>大容量</t>
        </is>
      </c>
      <c r="Q47" s="2" t="inlineStr">
        <is>
          <t>S11</t>
        </is>
      </c>
    </row>
    <row r="48">
      <c r="A48" s="2" t="n">
        <v>47</v>
      </c>
      <c r="B48" s="2" t="inlineStr">
        <is>
          <t>FujiXerox</t>
        </is>
      </c>
      <c r="C48" s="2" t="inlineStr">
        <is>
          <t>FujiXerox DocuPrint CP500 d</t>
        </is>
      </c>
      <c r="D48" s="2" t="n">
        <v>1</v>
      </c>
      <c r="E48" s="2" t="inlineStr">
        <is>
          <t>トナー</t>
        </is>
      </c>
      <c r="F48" s="2" t="inlineStr">
        <is>
          <t>シアン</t>
        </is>
      </c>
      <c r="G48" s="3" t="inlineStr">
        <is>
          <t>大容量トナーカートリッジ シアン</t>
        </is>
      </c>
      <c r="H48" s="2" t="inlineStr">
        <is>
          <t>CT203058</t>
        </is>
      </c>
      <c r="I48" s="2" t="inlineStr">
        <is>
          <t>CT203058</t>
        </is>
      </c>
      <c r="J48" s="4" t="n">
        <v>11000</v>
      </c>
      <c r="K48" s="4" t="n">
        <v>37000</v>
      </c>
      <c r="L48" s="2" t="inlineStr">
        <is>
          <t>メーカー標準価格（税別）</t>
        </is>
      </c>
      <c r="M48" s="2" t="inlineStr">
        <is>
          <t>あり</t>
        </is>
      </c>
      <c r="N48" s="2" t="inlineStr">
        <is>
          <t>CT203058</t>
        </is>
      </c>
      <c r="O48" s="5">
        <f>IF($N48="","—",IF(COUNTIF(台帳マスタ!$A:$A,$N48)&gt;0,"登録あり","未登録"))</f>
        <v/>
      </c>
      <c r="P48" s="3" t="inlineStr">
        <is>
          <t>大容量</t>
        </is>
      </c>
      <c r="Q48" s="2" t="inlineStr">
        <is>
          <t>S11</t>
        </is>
      </c>
    </row>
    <row r="49">
      <c r="A49" s="2" t="n">
        <v>48</v>
      </c>
      <c r="B49" s="2" t="inlineStr">
        <is>
          <t>FujiXerox</t>
        </is>
      </c>
      <c r="C49" s="2" t="inlineStr">
        <is>
          <t>FujiXerox DocuPrint CP500 d</t>
        </is>
      </c>
      <c r="D49" s="2" t="n">
        <v>1</v>
      </c>
      <c r="E49" s="2" t="inlineStr">
        <is>
          <t>トナー</t>
        </is>
      </c>
      <c r="F49" s="2" t="inlineStr">
        <is>
          <t>マゼンタ</t>
        </is>
      </c>
      <c r="G49" s="3" t="inlineStr">
        <is>
          <t>大容量トナーカートリッジ マゼンタ</t>
        </is>
      </c>
      <c r="H49" s="2" t="inlineStr">
        <is>
          <t>CT203059</t>
        </is>
      </c>
      <c r="I49" s="2" t="inlineStr">
        <is>
          <t>CT203059</t>
        </is>
      </c>
      <c r="J49" s="4" t="n">
        <v>11000</v>
      </c>
      <c r="K49" s="4" t="n">
        <v>37000</v>
      </c>
      <c r="L49" s="2" t="inlineStr">
        <is>
          <t>メーカー標準価格（税別）</t>
        </is>
      </c>
      <c r="M49" s="2" t="inlineStr">
        <is>
          <t>あり</t>
        </is>
      </c>
      <c r="N49" s="2" t="inlineStr">
        <is>
          <t>CT203059</t>
        </is>
      </c>
      <c r="O49" s="5">
        <f>IF($N49="","—",IF(COUNTIF(台帳マスタ!$A:$A,$N49)&gt;0,"登録あり","未登録"))</f>
        <v/>
      </c>
      <c r="P49" s="3" t="inlineStr">
        <is>
          <t>大容量</t>
        </is>
      </c>
      <c r="Q49" s="2" t="inlineStr">
        <is>
          <t>S11</t>
        </is>
      </c>
    </row>
    <row r="50">
      <c r="A50" s="2" t="n">
        <v>49</v>
      </c>
      <c r="B50" s="2" t="inlineStr">
        <is>
          <t>FujiXerox</t>
        </is>
      </c>
      <c r="C50" s="2" t="inlineStr">
        <is>
          <t>FujiXerox DocuPrint CP500 d</t>
        </is>
      </c>
      <c r="D50" s="2" t="n">
        <v>1</v>
      </c>
      <c r="E50" s="2" t="inlineStr">
        <is>
          <t>トナー</t>
        </is>
      </c>
      <c r="F50" s="2" t="inlineStr">
        <is>
          <t>イエロー</t>
        </is>
      </c>
      <c r="G50" s="3" t="inlineStr">
        <is>
          <t>大容量トナーカートリッジ イエロー</t>
        </is>
      </c>
      <c r="H50" s="2" t="inlineStr">
        <is>
          <t>CT203060</t>
        </is>
      </c>
      <c r="I50" s="2" t="inlineStr">
        <is>
          <t>CT203060</t>
        </is>
      </c>
      <c r="J50" s="4" t="n">
        <v>11000</v>
      </c>
      <c r="K50" s="4" t="n">
        <v>37000</v>
      </c>
      <c r="L50" s="2" t="inlineStr">
        <is>
          <t>メーカー標準価格（税別）</t>
        </is>
      </c>
      <c r="M50" s="2" t="inlineStr">
        <is>
          <t>あり</t>
        </is>
      </c>
      <c r="N50" s="2" t="inlineStr">
        <is>
          <t>CT203060</t>
        </is>
      </c>
      <c r="O50" s="5">
        <f>IF($N50="","—",IF(COUNTIF(台帳マスタ!$A:$A,$N50)&gt;0,"登録あり","未登録"))</f>
        <v/>
      </c>
      <c r="P50" s="3" t="inlineStr">
        <is>
          <t>大容量</t>
        </is>
      </c>
      <c r="Q50" s="2" t="inlineStr">
        <is>
          <t>S11</t>
        </is>
      </c>
    </row>
    <row r="51">
      <c r="A51" s="2" t="n">
        <v>50</v>
      </c>
      <c r="B51" s="2" t="inlineStr">
        <is>
          <t>FujiXerox</t>
        </is>
      </c>
      <c r="C51" s="2" t="inlineStr">
        <is>
          <t>FujiXerox DocuPrint CP500 d</t>
        </is>
      </c>
      <c r="D51" s="2" t="n">
        <v>1</v>
      </c>
      <c r="E51" s="2" t="inlineStr">
        <is>
          <t>ドラム</t>
        </is>
      </c>
      <c r="F51" s="2" t="inlineStr">
        <is>
          <t>ブラック</t>
        </is>
      </c>
      <c r="G51" s="3" t="inlineStr">
        <is>
          <t>ドラムカートリッジ ブラック</t>
        </is>
      </c>
      <c r="H51" s="2" t="inlineStr">
        <is>
          <t>CT351149</t>
        </is>
      </c>
      <c r="I51" s="2" t="inlineStr">
        <is>
          <t>CT351149</t>
        </is>
      </c>
      <c r="J51" s="4" t="n">
        <v>40000</v>
      </c>
      <c r="K51" s="4" t="n">
        <v>14300</v>
      </c>
      <c r="L51" s="2" t="inlineStr">
        <is>
          <t>メーカー標準価格（税別）</t>
        </is>
      </c>
      <c r="M51" s="2" t="inlineStr">
        <is>
          <t>あり</t>
        </is>
      </c>
      <c r="N51" s="2" t="inlineStr">
        <is>
          <t>CT351149</t>
        </is>
      </c>
      <c r="O51" s="5">
        <f>IF($N51="","—",IF(COUNTIF(台帳マスタ!$A:$A,$N51)&gt;0,"登録あり","未登録"))</f>
        <v/>
      </c>
      <c r="P51" s="3" t="inlineStr"/>
      <c r="Q51" s="2" t="inlineStr">
        <is>
          <t>S11</t>
        </is>
      </c>
    </row>
    <row r="52">
      <c r="A52" s="2" t="n">
        <v>51</v>
      </c>
      <c r="B52" s="2" t="inlineStr">
        <is>
          <t>FujiXerox</t>
        </is>
      </c>
      <c r="C52" s="2" t="inlineStr">
        <is>
          <t>FujiXerox DocuPrint CP500 d</t>
        </is>
      </c>
      <c r="D52" s="2" t="n">
        <v>1</v>
      </c>
      <c r="E52" s="2" t="inlineStr">
        <is>
          <t>ドラム</t>
        </is>
      </c>
      <c r="F52" s="2" t="inlineStr">
        <is>
          <t>シアン</t>
        </is>
      </c>
      <c r="G52" s="3" t="inlineStr">
        <is>
          <t>ドラムカートリッジ シアン</t>
        </is>
      </c>
      <c r="H52" s="2" t="inlineStr">
        <is>
          <t>CT351150</t>
        </is>
      </c>
      <c r="I52" s="2" t="inlineStr">
        <is>
          <t>CT351150</t>
        </is>
      </c>
      <c r="J52" s="4" t="n">
        <v>40000</v>
      </c>
      <c r="K52" s="4" t="n">
        <v>14300</v>
      </c>
      <c r="L52" s="2" t="inlineStr">
        <is>
          <t>メーカー標準価格（税別）</t>
        </is>
      </c>
      <c r="M52" s="2" t="inlineStr">
        <is>
          <t>あり</t>
        </is>
      </c>
      <c r="N52" s="2" t="inlineStr">
        <is>
          <t>CT351150</t>
        </is>
      </c>
      <c r="O52" s="5">
        <f>IF($N52="","—",IF(COUNTIF(台帳マスタ!$A:$A,$N52)&gt;0,"登録あり","未登録"))</f>
        <v/>
      </c>
      <c r="P52" s="3" t="inlineStr"/>
      <c r="Q52" s="2" t="inlineStr">
        <is>
          <t>S11</t>
        </is>
      </c>
    </row>
    <row r="53">
      <c r="A53" s="2" t="n">
        <v>52</v>
      </c>
      <c r="B53" s="2" t="inlineStr">
        <is>
          <t>FujiXerox</t>
        </is>
      </c>
      <c r="C53" s="2" t="inlineStr">
        <is>
          <t>FujiXerox DocuPrint CP500 d</t>
        </is>
      </c>
      <c r="D53" s="2" t="n">
        <v>1</v>
      </c>
      <c r="E53" s="2" t="inlineStr">
        <is>
          <t>ドラム</t>
        </is>
      </c>
      <c r="F53" s="2" t="inlineStr">
        <is>
          <t>マゼンタ</t>
        </is>
      </c>
      <c r="G53" s="3" t="inlineStr">
        <is>
          <t>ドラムカートリッジ マゼンタ</t>
        </is>
      </c>
      <c r="H53" s="2" t="inlineStr">
        <is>
          <t>CT351151</t>
        </is>
      </c>
      <c r="I53" s="2" t="inlineStr">
        <is>
          <t>CT351151</t>
        </is>
      </c>
      <c r="J53" s="4" t="n">
        <v>40000</v>
      </c>
      <c r="K53" s="4" t="n">
        <v>14300</v>
      </c>
      <c r="L53" s="2" t="inlineStr">
        <is>
          <t>メーカー標準価格（税別）</t>
        </is>
      </c>
      <c r="M53" s="2" t="inlineStr">
        <is>
          <t>あり</t>
        </is>
      </c>
      <c r="N53" s="2" t="inlineStr">
        <is>
          <t>CT351151</t>
        </is>
      </c>
      <c r="O53" s="5">
        <f>IF($N53="","—",IF(COUNTIF(台帳マスタ!$A:$A,$N53)&gt;0,"登録あり","未登録"))</f>
        <v/>
      </c>
      <c r="P53" s="3" t="inlineStr"/>
      <c r="Q53" s="2" t="inlineStr">
        <is>
          <t>S11</t>
        </is>
      </c>
    </row>
    <row r="54">
      <c r="A54" s="2" t="n">
        <v>53</v>
      </c>
      <c r="B54" s="2" t="inlineStr">
        <is>
          <t>FujiXerox</t>
        </is>
      </c>
      <c r="C54" s="2" t="inlineStr">
        <is>
          <t>FujiXerox DocuPrint CP500 d</t>
        </is>
      </c>
      <c r="D54" s="2" t="n">
        <v>1</v>
      </c>
      <c r="E54" s="2" t="inlineStr">
        <is>
          <t>ドラム</t>
        </is>
      </c>
      <c r="F54" s="2" t="inlineStr">
        <is>
          <t>イエロー</t>
        </is>
      </c>
      <c r="G54" s="3" t="inlineStr">
        <is>
          <t>ドラムカートリッジ イエロー</t>
        </is>
      </c>
      <c r="H54" s="2" t="inlineStr">
        <is>
          <t>CT351152</t>
        </is>
      </c>
      <c r="I54" s="2" t="inlineStr">
        <is>
          <t>CT351152</t>
        </is>
      </c>
      <c r="J54" s="4" t="n">
        <v>40000</v>
      </c>
      <c r="K54" s="4" t="n">
        <v>14300</v>
      </c>
      <c r="L54" s="2" t="inlineStr">
        <is>
          <t>メーカー標準価格（税別）</t>
        </is>
      </c>
      <c r="M54" s="2" t="inlineStr">
        <is>
          <t>あり</t>
        </is>
      </c>
      <c r="N54" s="2" t="inlineStr">
        <is>
          <t>CT351152</t>
        </is>
      </c>
      <c r="O54" s="5">
        <f>IF($N54="","—",IF(COUNTIF(台帳マスタ!$A:$A,$N54)&gt;0,"登録あり","未登録"))</f>
        <v/>
      </c>
      <c r="P54" s="3" t="inlineStr"/>
      <c r="Q54" s="2" t="inlineStr">
        <is>
          <t>S11</t>
        </is>
      </c>
    </row>
    <row r="55">
      <c r="A55" s="2" t="n">
        <v>54</v>
      </c>
      <c r="B55" s="2" t="inlineStr">
        <is>
          <t>FujiXerox</t>
        </is>
      </c>
      <c r="C55" s="2" t="inlineStr">
        <is>
          <t>FujiXerox DocuPrint CP500 d</t>
        </is>
      </c>
      <c r="D55" s="2" t="n">
        <v>1</v>
      </c>
      <c r="E55" s="2" t="inlineStr">
        <is>
          <t>廃トナー</t>
        </is>
      </c>
      <c r="F55" s="2" t="inlineStr">
        <is>
          <t>—</t>
        </is>
      </c>
      <c r="G55" s="3" t="inlineStr">
        <is>
          <t>トナー回収ボトル</t>
        </is>
      </c>
      <c r="H55" s="2" t="inlineStr">
        <is>
          <t>CWAA0915</t>
        </is>
      </c>
      <c r="I55" s="2" t="inlineStr">
        <is>
          <t>CWAA0915</t>
        </is>
      </c>
      <c r="J55" s="4" t="n">
        <v>30000</v>
      </c>
      <c r="K55" s="4" t="n">
        <v>3500</v>
      </c>
      <c r="L55" s="2" t="inlineStr">
        <is>
          <t>メーカー標準価格（税別）</t>
        </is>
      </c>
      <c r="M55" s="2" t="inlineStr">
        <is>
          <t>あり</t>
        </is>
      </c>
      <c r="N55" s="2" t="inlineStr">
        <is>
          <t>CWAA0915</t>
        </is>
      </c>
      <c r="O55" s="5">
        <f>IF($N55="","—",IF(COUNTIF(台帳マスタ!$A:$A,$N55)&gt;0,"登録あり","未登録"))</f>
        <v/>
      </c>
      <c r="P55" s="3" t="inlineStr"/>
      <c r="Q55" s="2" t="inlineStr">
        <is>
          <t>S11</t>
        </is>
      </c>
    </row>
    <row r="56">
      <c r="A56" s="2" t="n">
        <v>55</v>
      </c>
      <c r="B56" s="2" t="inlineStr">
        <is>
          <t>HP</t>
        </is>
      </c>
      <c r="C56" s="2" t="inlineStr">
        <is>
          <t>HP LaserJet M601</t>
        </is>
      </c>
      <c r="D56" s="2" t="n">
        <v>1</v>
      </c>
      <c r="E56" s="2" t="inlineStr">
        <is>
          <t>トナー</t>
        </is>
      </c>
      <c r="F56" s="2" t="inlineStr">
        <is>
          <t>ブラック</t>
        </is>
      </c>
      <c r="G56" s="3" t="inlineStr">
        <is>
          <t>HP 90A 黒トナーカートリッジ</t>
        </is>
      </c>
      <c r="H56" s="2" t="inlineStr">
        <is>
          <t>CE390A</t>
        </is>
      </c>
      <c r="I56" s="2" t="inlineStr"/>
      <c r="J56" s="4" t="n">
        <v>10000</v>
      </c>
      <c r="K56" s="4" t="n"/>
      <c r="L56" s="2" t="inlineStr">
        <is>
          <t>—</t>
        </is>
      </c>
      <c r="M56" s="2" t="inlineStr">
        <is>
          <t>あり</t>
        </is>
      </c>
      <c r="N56" s="2" t="inlineStr">
        <is>
          <t>CE390A</t>
        </is>
      </c>
      <c r="O56" s="5">
        <f>IF($N56="","—",IF(COUNTIF(台帳マスタ!$A:$A,$N56)&gt;0,"登録あり","未登録"))</f>
        <v/>
      </c>
      <c r="P56" s="3" t="inlineStr"/>
      <c r="Q56" s="2" t="inlineStr">
        <is>
          <t>S25</t>
        </is>
      </c>
    </row>
    <row r="57">
      <c r="A57" s="2" t="n">
        <v>56</v>
      </c>
      <c r="B57" s="2" t="inlineStr">
        <is>
          <t>HP</t>
        </is>
      </c>
      <c r="C57" s="2" t="inlineStr">
        <is>
          <t>HP LaserJet M601</t>
        </is>
      </c>
      <c r="D57" s="2" t="n">
        <v>1</v>
      </c>
      <c r="E57" s="2" t="inlineStr">
        <is>
          <t>トナー</t>
        </is>
      </c>
      <c r="F57" s="2" t="inlineStr">
        <is>
          <t>ブラック</t>
        </is>
      </c>
      <c r="G57" s="3" t="inlineStr">
        <is>
          <t>HP 90X 黒トナーカートリッジ（大容量）</t>
        </is>
      </c>
      <c r="H57" s="2" t="inlineStr">
        <is>
          <t>CE390X</t>
        </is>
      </c>
      <c r="I57" s="2" t="inlineStr"/>
      <c r="J57" s="4" t="n">
        <v>24000</v>
      </c>
      <c r="K57" s="4" t="n"/>
      <c r="L57" s="2" t="inlineStr">
        <is>
          <t>—</t>
        </is>
      </c>
      <c r="M57" s="2" t="inlineStr">
        <is>
          <t>あり</t>
        </is>
      </c>
      <c r="N57" s="2" t="inlineStr">
        <is>
          <t>CE390X</t>
        </is>
      </c>
      <c r="O57" s="5">
        <f>IF($N57="","—",IF(COUNTIF(台帳マスタ!$A:$A,$N57)&gt;0,"登録あり","未登録"))</f>
        <v/>
      </c>
      <c r="P57" s="3" t="inlineStr"/>
      <c r="Q57" s="2" t="inlineStr">
        <is>
          <t>S25</t>
        </is>
      </c>
    </row>
    <row r="58">
      <c r="A58" s="2" t="n">
        <v>57</v>
      </c>
      <c r="B58" s="2" t="inlineStr">
        <is>
          <t>HP</t>
        </is>
      </c>
      <c r="C58" s="2" t="inlineStr">
        <is>
          <t>HP LaserJet M601</t>
        </is>
      </c>
      <c r="D58" s="2" t="n">
        <v>1</v>
      </c>
      <c r="E58" s="2" t="inlineStr">
        <is>
          <t>メンテナンス</t>
        </is>
      </c>
      <c r="F58" s="2" t="inlineStr">
        <is>
          <t>—</t>
        </is>
      </c>
      <c r="G58" s="3" t="inlineStr">
        <is>
          <t>メンテナンスキット（定着器・ローラー類）</t>
        </is>
      </c>
      <c r="H58" s="2" t="inlineStr">
        <is>
          <t>CF064A</t>
        </is>
      </c>
      <c r="I58" s="2" t="inlineStr"/>
      <c r="J58" s="4" t="n">
        <v>225000</v>
      </c>
      <c r="K58" s="4" t="n"/>
      <c r="L58" s="2" t="inlineStr">
        <is>
          <t>—</t>
        </is>
      </c>
      <c r="M58" s="2" t="inlineStr">
        <is>
          <t>あり</t>
        </is>
      </c>
      <c r="N58" s="2" t="inlineStr">
        <is>
          <t>CF064A</t>
        </is>
      </c>
      <c r="O58" s="5">
        <f>IF($N58="","—",IF(COUNTIF(台帳マスタ!$A:$A,$N58)&gt;0,"登録あり","未登録"))</f>
        <v/>
      </c>
      <c r="P58" s="3" t="inlineStr">
        <is>
          <t>純正保守部品</t>
        </is>
      </c>
      <c r="Q58" s="2" t="inlineStr">
        <is>
          <t>S25</t>
        </is>
      </c>
    </row>
    <row r="59">
      <c r="A59" s="2" t="n">
        <v>58</v>
      </c>
      <c r="B59" s="2" t="inlineStr">
        <is>
          <t>KYOCERA</t>
        </is>
      </c>
      <c r="C59" s="2" t="inlineStr">
        <is>
          <t>KYOCERA ECOSYS PA6000x</t>
        </is>
      </c>
      <c r="D59" s="2" t="n">
        <v>3</v>
      </c>
      <c r="E59" s="2" t="inlineStr">
        <is>
          <t>トナー</t>
        </is>
      </c>
      <c r="F59" s="2" t="inlineStr">
        <is>
          <t>ブラック</t>
        </is>
      </c>
      <c r="G59" s="3" t="inlineStr">
        <is>
          <t>トナーキット TK-3431（2本単位）</t>
        </is>
      </c>
      <c r="H59" s="2" t="inlineStr">
        <is>
          <t>TK-3431</t>
        </is>
      </c>
      <c r="I59" s="2" t="inlineStr"/>
      <c r="J59" s="4" t="n">
        <v>25000</v>
      </c>
      <c r="K59" s="4" t="n">
        <v>40000</v>
      </c>
      <c r="L59" s="2" t="inlineStr">
        <is>
          <t>メーカー標準価格（税別）</t>
        </is>
      </c>
      <c r="M59" s="2" t="inlineStr">
        <is>
          <t>あり（リターン方式）</t>
        </is>
      </c>
      <c r="N59" s="2" t="inlineStr">
        <is>
          <t>TK-3431</t>
        </is>
      </c>
      <c r="O59" s="5">
        <f>IF($N59="","—",IF(COUNTIF(台帳マスタ!$A:$A,$N59)&gt;0,"登録あり","未登録"))</f>
        <v/>
      </c>
      <c r="P59" s="3" t="inlineStr">
        <is>
          <t>2本で 40,000 円（税別）</t>
        </is>
      </c>
      <c r="Q59" s="2" t="inlineStr">
        <is>
          <t>S16</t>
        </is>
      </c>
    </row>
    <row r="60">
      <c r="A60" s="2" t="n">
        <v>59</v>
      </c>
      <c r="B60" s="2" t="inlineStr">
        <is>
          <t>KYOCERA</t>
        </is>
      </c>
      <c r="C60" s="2" t="inlineStr">
        <is>
          <t>KYOCERA ECOSYS PA6000x</t>
        </is>
      </c>
      <c r="D60" s="2" t="n">
        <v>3</v>
      </c>
      <c r="E60" s="2" t="inlineStr">
        <is>
          <t>メンテナンス</t>
        </is>
      </c>
      <c r="F60" s="2" t="inlineStr">
        <is>
          <t>—</t>
        </is>
      </c>
      <c r="G60" s="3" t="inlineStr">
        <is>
          <t>メンテナンスキット MK-3381</t>
        </is>
      </c>
      <c r="H60" s="2" t="inlineStr">
        <is>
          <t>MK-3381</t>
        </is>
      </c>
      <c r="I60" s="2" t="inlineStr"/>
      <c r="J60" s="4" t="n">
        <v>500000</v>
      </c>
      <c r="K60" s="4" t="n">
        <v>24300</v>
      </c>
      <c r="L60" s="2" t="inlineStr">
        <is>
          <t>メーカー標準価格（税別）</t>
        </is>
      </c>
      <c r="M60" s="2" t="inlineStr">
        <is>
          <t>あり（リターン方式）</t>
        </is>
      </c>
      <c r="N60" s="2" t="inlineStr">
        <is>
          <t>MK-3381</t>
        </is>
      </c>
      <c r="O60" s="5">
        <f>IF($N60="","—",IF(COUNTIF(台帳マスタ!$A:$A,$N60)&gt;0,"登録あり","未登録"))</f>
        <v/>
      </c>
      <c r="P60" s="3" t="inlineStr">
        <is>
          <t>約50万ページごと。ドラム・現像を含む</t>
        </is>
      </c>
      <c r="Q60" s="2" t="inlineStr">
        <is>
          <t>S16</t>
        </is>
      </c>
    </row>
    <row r="61">
      <c r="A61" s="2" t="n">
        <v>60</v>
      </c>
      <c r="B61" s="2" t="inlineStr">
        <is>
          <t>Ricoh</t>
        </is>
      </c>
      <c r="C61" s="2" t="inlineStr">
        <is>
          <t>Ricoh IMC3500</t>
        </is>
      </c>
      <c r="D61" s="2" t="n">
        <v>1</v>
      </c>
      <c r="E61" s="2" t="inlineStr">
        <is>
          <t>トナー</t>
        </is>
      </c>
      <c r="F61" s="2" t="inlineStr">
        <is>
          <t>ブラック</t>
        </is>
      </c>
      <c r="G61" s="3" t="inlineStr">
        <is>
          <t>RICOH MP トナー ブラック C3503</t>
        </is>
      </c>
      <c r="H61" s="2" t="inlineStr">
        <is>
          <t>C3503</t>
        </is>
      </c>
      <c r="I61" s="2" t="inlineStr">
        <is>
          <t>600249</t>
        </is>
      </c>
      <c r="J61" s="4" t="n"/>
      <c r="K61" s="4" t="n"/>
      <c r="L61" s="2" t="inlineStr">
        <is>
          <t>—</t>
        </is>
      </c>
      <c r="M61" s="2" t="inlineStr">
        <is>
          <t>あり</t>
        </is>
      </c>
      <c r="N61" s="2" t="inlineStr">
        <is>
          <t>C3503</t>
        </is>
      </c>
      <c r="O61" s="5">
        <f>IF($N61="","—",IF(COUNTIF(台帳マスタ!$A:$A,$N61)&gt;0,"登録あり","未登録"))</f>
        <v/>
      </c>
      <c r="P61" s="3" t="inlineStr">
        <is>
          <t>品種コードは販売店表記。保守契約の種別で品目が変わる</t>
        </is>
      </c>
      <c r="Q61" s="2" t="inlineStr">
        <is>
          <t>S26</t>
        </is>
      </c>
    </row>
    <row r="62">
      <c r="A62" s="2" t="n">
        <v>61</v>
      </c>
      <c r="B62" s="2" t="inlineStr">
        <is>
          <t>Ricoh</t>
        </is>
      </c>
      <c r="C62" s="2" t="inlineStr">
        <is>
          <t>Ricoh IMC3500</t>
        </is>
      </c>
      <c r="D62" s="2" t="n">
        <v>1</v>
      </c>
      <c r="E62" s="2" t="inlineStr">
        <is>
          <t>トナー</t>
        </is>
      </c>
      <c r="F62" s="2" t="inlineStr">
        <is>
          <t>イエロー</t>
        </is>
      </c>
      <c r="G62" s="3" t="inlineStr">
        <is>
          <t>RICOH MP トナー イエロー C3503</t>
        </is>
      </c>
      <c r="H62" s="2" t="inlineStr">
        <is>
          <t>C3503</t>
        </is>
      </c>
      <c r="I62" s="2" t="inlineStr">
        <is>
          <t>600250</t>
        </is>
      </c>
      <c r="J62" s="4" t="n"/>
      <c r="K62" s="4" t="n"/>
      <c r="L62" s="2" t="inlineStr">
        <is>
          <t>—</t>
        </is>
      </c>
      <c r="M62" s="2" t="inlineStr">
        <is>
          <t>あり</t>
        </is>
      </c>
      <c r="N62" s="2" t="inlineStr">
        <is>
          <t>C3503</t>
        </is>
      </c>
      <c r="O62" s="5">
        <f>IF($N62="","—",IF(COUNTIF(台帳マスタ!$A:$A,$N62)&gt;0,"登録あり","未登録"))</f>
        <v/>
      </c>
      <c r="P62" s="3" t="inlineStr">
        <is>
          <t>品種コードは販売店表記。保守契約の種別で品目が変わる</t>
        </is>
      </c>
      <c r="Q62" s="2" t="inlineStr">
        <is>
          <t>S26</t>
        </is>
      </c>
    </row>
    <row r="63">
      <c r="A63" s="2" t="n">
        <v>62</v>
      </c>
      <c r="B63" s="2" t="inlineStr">
        <is>
          <t>Ricoh</t>
        </is>
      </c>
      <c r="C63" s="2" t="inlineStr">
        <is>
          <t>Ricoh IMC3500</t>
        </is>
      </c>
      <c r="D63" s="2" t="n">
        <v>1</v>
      </c>
      <c r="E63" s="2" t="inlineStr">
        <is>
          <t>トナー</t>
        </is>
      </c>
      <c r="F63" s="2" t="inlineStr">
        <is>
          <t>マゼンタ</t>
        </is>
      </c>
      <c r="G63" s="3" t="inlineStr">
        <is>
          <t>RICOH MP トナー マゼンタ C3503</t>
        </is>
      </c>
      <c r="H63" s="2" t="inlineStr">
        <is>
          <t>C3503</t>
        </is>
      </c>
      <c r="I63" s="2" t="inlineStr">
        <is>
          <t>600251</t>
        </is>
      </c>
      <c r="J63" s="4" t="n"/>
      <c r="K63" s="4" t="n"/>
      <c r="L63" s="2" t="inlineStr">
        <is>
          <t>—</t>
        </is>
      </c>
      <c r="M63" s="2" t="inlineStr">
        <is>
          <t>あり</t>
        </is>
      </c>
      <c r="N63" s="2" t="inlineStr">
        <is>
          <t>C3503</t>
        </is>
      </c>
      <c r="O63" s="5">
        <f>IF($N63="","—",IF(COUNTIF(台帳マスタ!$A:$A,$N63)&gt;0,"登録あり","未登録"))</f>
        <v/>
      </c>
      <c r="P63" s="3" t="inlineStr">
        <is>
          <t>品種コードは販売店表記。保守契約の種別で品目が変わる</t>
        </is>
      </c>
      <c r="Q63" s="2" t="inlineStr">
        <is>
          <t>S26</t>
        </is>
      </c>
    </row>
    <row r="64">
      <c r="A64" s="2" t="n">
        <v>63</v>
      </c>
      <c r="B64" s="2" t="inlineStr">
        <is>
          <t>Ricoh</t>
        </is>
      </c>
      <c r="C64" s="2" t="inlineStr">
        <is>
          <t>Ricoh IMC3500</t>
        </is>
      </c>
      <c r="D64" s="2" t="n">
        <v>1</v>
      </c>
      <c r="E64" s="2" t="inlineStr">
        <is>
          <t>トナー</t>
        </is>
      </c>
      <c r="F64" s="2" t="inlineStr">
        <is>
          <t>シアン</t>
        </is>
      </c>
      <c r="G64" s="3" t="inlineStr">
        <is>
          <t>RICOH MP トナー シアン C3503</t>
        </is>
      </c>
      <c r="H64" s="2" t="inlineStr">
        <is>
          <t>C3503</t>
        </is>
      </c>
      <c r="I64" s="2" t="inlineStr">
        <is>
          <t>600252</t>
        </is>
      </c>
      <c r="J64" s="4" t="n"/>
      <c r="K64" s="4" t="n"/>
      <c r="L64" s="2" t="inlineStr">
        <is>
          <t>—</t>
        </is>
      </c>
      <c r="M64" s="2" t="inlineStr">
        <is>
          <t>あり</t>
        </is>
      </c>
      <c r="N64" s="2" t="inlineStr">
        <is>
          <t>C3503</t>
        </is>
      </c>
      <c r="O64" s="5">
        <f>IF($N64="","—",IF(COUNTIF(台帳マスタ!$A:$A,$N64)&gt;0,"登録あり","未登録"))</f>
        <v/>
      </c>
      <c r="P64" s="3" t="inlineStr">
        <is>
          <t>品種コードは販売店表記。保守契約の種別で品目が変わる</t>
        </is>
      </c>
      <c r="Q64" s="2" t="inlineStr">
        <is>
          <t>S26</t>
        </is>
      </c>
    </row>
    <row r="65">
      <c r="A65" s="2" t="n">
        <v>64</v>
      </c>
      <c r="B65" s="2" t="inlineStr">
        <is>
          <t>Ricoh</t>
        </is>
      </c>
      <c r="C65" s="2" t="inlineStr">
        <is>
          <t>Ricoh IMC3500</t>
        </is>
      </c>
      <c r="D65" s="2" t="n">
        <v>1</v>
      </c>
      <c r="E65" s="2" t="inlineStr">
        <is>
          <t>廃トナー</t>
        </is>
      </c>
      <c r="F65" s="2" t="inlineStr">
        <is>
          <t>—</t>
        </is>
      </c>
      <c r="G65" s="3" t="inlineStr">
        <is>
          <t>廃トナーボトル IM C6000（IM C2000〜C6000 共通）</t>
        </is>
      </c>
      <c r="H65" s="2" t="inlineStr">
        <is>
          <t>IM C6000</t>
        </is>
      </c>
      <c r="I65" s="2" t="inlineStr"/>
      <c r="J65" s="4" t="n">
        <v>40000</v>
      </c>
      <c r="K65" s="4" t="n"/>
      <c r="L65" s="2" t="inlineStr">
        <is>
          <t>—</t>
        </is>
      </c>
      <c r="M65" s="2" t="inlineStr">
        <is>
          <t>あり</t>
        </is>
      </c>
      <c r="N65" s="2" t="inlineStr">
        <is>
          <t>IM C6000</t>
        </is>
      </c>
      <c r="O65" s="5">
        <f>IF($N65="","—",IF(COUNTIF(台帳マスタ!$A:$A,$N65)&gt;0,"登録あり","未登録"))</f>
        <v/>
      </c>
      <c r="P65" s="3" t="inlineStr">
        <is>
          <t>価格は販売担当に確認</t>
        </is>
      </c>
      <c r="Q65" s="2" t="inlineStr">
        <is>
          <t>S09</t>
        </is>
      </c>
    </row>
    <row r="66">
      <c r="A66" s="2" t="n">
        <v>65</v>
      </c>
      <c r="B66" s="2" t="inlineStr">
        <is>
          <t>Ricoh</t>
        </is>
      </c>
      <c r="C66" s="2" t="inlineStr">
        <is>
          <t>Ricoh IPSio SP 4510</t>
        </is>
      </c>
      <c r="D66" s="2" t="n">
        <v>1</v>
      </c>
      <c r="E66" s="2" t="inlineStr">
        <is>
          <t>トナー</t>
        </is>
      </c>
      <c r="F66" s="2" t="inlineStr">
        <is>
          <t>ブラック</t>
        </is>
      </c>
      <c r="G66" s="3" t="inlineStr">
        <is>
          <t>RICOH SP トナー 4500L</t>
        </is>
      </c>
      <c r="H66" s="2" t="inlineStr">
        <is>
          <t>4500L</t>
        </is>
      </c>
      <c r="I66" s="2" t="inlineStr">
        <is>
          <t>600546</t>
        </is>
      </c>
      <c r="J66" s="4" t="n">
        <v>3000</v>
      </c>
      <c r="K66" s="4" t="n">
        <v>13300</v>
      </c>
      <c r="L66" s="2" t="inlineStr">
        <is>
          <t>メーカー標準価格（税別）</t>
        </is>
      </c>
      <c r="M66" s="2" t="inlineStr">
        <is>
          <t>あり</t>
        </is>
      </c>
      <c r="N66" s="2" t="inlineStr">
        <is>
          <t>4500L</t>
        </is>
      </c>
      <c r="O66" s="5">
        <f>IF($N66="","—",IF(COUNTIF(台帳マスタ!$A:$A,$N66)&gt;0,"登録あり","未登録"))</f>
        <v/>
      </c>
      <c r="P66" s="3" t="inlineStr"/>
      <c r="Q66" s="2" t="inlineStr">
        <is>
          <t>S05</t>
        </is>
      </c>
    </row>
    <row r="67">
      <c r="A67" s="2" t="n">
        <v>66</v>
      </c>
      <c r="B67" s="2" t="inlineStr">
        <is>
          <t>Ricoh</t>
        </is>
      </c>
      <c r="C67" s="2" t="inlineStr">
        <is>
          <t>Ricoh IPSio SP 4510</t>
        </is>
      </c>
      <c r="D67" s="2" t="n">
        <v>1</v>
      </c>
      <c r="E67" s="2" t="inlineStr">
        <is>
          <t>トナー</t>
        </is>
      </c>
      <c r="F67" s="2" t="inlineStr">
        <is>
          <t>ブラック</t>
        </is>
      </c>
      <c r="G67" s="3" t="inlineStr">
        <is>
          <t>RICOH SP トナー 4500</t>
        </is>
      </c>
      <c r="H67" s="2" t="inlineStr">
        <is>
          <t>4500</t>
        </is>
      </c>
      <c r="I67" s="2" t="inlineStr">
        <is>
          <t>600545</t>
        </is>
      </c>
      <c r="J67" s="4" t="n">
        <v>6000</v>
      </c>
      <c r="K67" s="4" t="n">
        <v>21900</v>
      </c>
      <c r="L67" s="2" t="inlineStr">
        <is>
          <t>メーカー標準価格（税別）</t>
        </is>
      </c>
      <c r="M67" s="2" t="inlineStr">
        <is>
          <t>あり</t>
        </is>
      </c>
      <c r="N67" s="2" t="inlineStr">
        <is>
          <t>4500</t>
        </is>
      </c>
      <c r="O67" s="5">
        <f>IF($N67="","—",IF(COUNTIF(台帳マスタ!$A:$A,$N67)&gt;0,"登録あり","未登録"))</f>
        <v/>
      </c>
      <c r="P67" s="3" t="inlineStr"/>
      <c r="Q67" s="2" t="inlineStr">
        <is>
          <t>S05</t>
        </is>
      </c>
    </row>
    <row r="68">
      <c r="A68" s="2" t="n">
        <v>67</v>
      </c>
      <c r="B68" s="2" t="inlineStr">
        <is>
          <t>Ricoh</t>
        </is>
      </c>
      <c r="C68" s="2" t="inlineStr">
        <is>
          <t>Ricoh IPSio SP 4510</t>
        </is>
      </c>
      <c r="D68" s="2" t="n">
        <v>1</v>
      </c>
      <c r="E68" s="2" t="inlineStr">
        <is>
          <t>トナー</t>
        </is>
      </c>
      <c r="F68" s="2" t="inlineStr">
        <is>
          <t>ブラック</t>
        </is>
      </c>
      <c r="G68" s="3" t="inlineStr">
        <is>
          <t>RICOH SP トナー 4500H（大容量）</t>
        </is>
      </c>
      <c r="H68" s="2" t="inlineStr">
        <is>
          <t>4500H</t>
        </is>
      </c>
      <c r="I68" s="2" t="inlineStr">
        <is>
          <t>600544</t>
        </is>
      </c>
      <c r="J68" s="4" t="n">
        <v>10000</v>
      </c>
      <c r="K68" s="4" t="n">
        <v>34300</v>
      </c>
      <c r="L68" s="2" t="inlineStr">
        <is>
          <t>メーカー標準価格（税別）</t>
        </is>
      </c>
      <c r="M68" s="2" t="inlineStr">
        <is>
          <t>あり</t>
        </is>
      </c>
      <c r="N68" s="2" t="inlineStr">
        <is>
          <t>トナー4500H</t>
        </is>
      </c>
      <c r="O68" s="5">
        <f>IF($N68="","—",IF(COUNTIF(台帳マスタ!$A:$A,$N68)&gt;0,"登録あり","未登録"))</f>
        <v/>
      </c>
      <c r="P68" s="3" t="inlineStr"/>
      <c r="Q68" s="2" t="inlineStr">
        <is>
          <t>S05</t>
        </is>
      </c>
    </row>
    <row r="69">
      <c r="A69" s="2" t="n">
        <v>68</v>
      </c>
      <c r="B69" s="2" t="inlineStr">
        <is>
          <t>Ricoh</t>
        </is>
      </c>
      <c r="C69" s="2" t="inlineStr">
        <is>
          <t>Ricoh IPSio SP 4510</t>
        </is>
      </c>
      <c r="D69" s="2" t="n">
        <v>1</v>
      </c>
      <c r="E69" s="2" t="inlineStr">
        <is>
          <t>ドラム</t>
        </is>
      </c>
      <c r="F69" s="2" t="inlineStr">
        <is>
          <t>—</t>
        </is>
      </c>
      <c r="G69" s="3" t="inlineStr">
        <is>
          <t>RICOH SP ドラムユニット 4500</t>
        </is>
      </c>
      <c r="H69" s="2" t="inlineStr">
        <is>
          <t>ドラムユニット4500</t>
        </is>
      </c>
      <c r="I69" s="2" t="inlineStr">
        <is>
          <t>512560</t>
        </is>
      </c>
      <c r="J69" s="4" t="n">
        <v>20000</v>
      </c>
      <c r="K69" s="4" t="n">
        <v>11100</v>
      </c>
      <c r="L69" s="2" t="inlineStr">
        <is>
          <t>メーカー標準価格（税別）</t>
        </is>
      </c>
      <c r="M69" s="2" t="inlineStr">
        <is>
          <t>あり</t>
        </is>
      </c>
      <c r="N69" s="2" t="inlineStr">
        <is>
          <t>ドラムユニット4500</t>
        </is>
      </c>
      <c r="O69" s="5">
        <f>IF($N69="","—",IF(COUNTIF(台帳マスタ!$A:$A,$N69)&gt;0,"登録あり","未登録"))</f>
        <v/>
      </c>
      <c r="P69" s="3" t="inlineStr"/>
      <c r="Q69" s="2" t="inlineStr">
        <is>
          <t>S05</t>
        </is>
      </c>
    </row>
    <row r="70">
      <c r="A70" s="2" t="n">
        <v>69</v>
      </c>
      <c r="B70" s="2" t="inlineStr">
        <is>
          <t>Ricoh</t>
        </is>
      </c>
      <c r="C70" s="2" t="inlineStr">
        <is>
          <t>Ricoh SP 4510</t>
        </is>
      </c>
      <c r="D70" s="2" t="n">
        <v>2</v>
      </c>
      <c r="E70" s="2" t="inlineStr">
        <is>
          <t>トナー</t>
        </is>
      </c>
      <c r="F70" s="2" t="inlineStr">
        <is>
          <t>ブラック</t>
        </is>
      </c>
      <c r="G70" s="3" t="inlineStr">
        <is>
          <t>RICOH SP トナー 4500L</t>
        </is>
      </c>
      <c r="H70" s="2" t="inlineStr">
        <is>
          <t>4500L</t>
        </is>
      </c>
      <c r="I70" s="2" t="inlineStr">
        <is>
          <t>600546</t>
        </is>
      </c>
      <c r="J70" s="4" t="n">
        <v>3000</v>
      </c>
      <c r="K70" s="4" t="n">
        <v>13300</v>
      </c>
      <c r="L70" s="2" t="inlineStr">
        <is>
          <t>メーカー標準価格（税別）</t>
        </is>
      </c>
      <c r="M70" s="2" t="inlineStr">
        <is>
          <t>あり</t>
        </is>
      </c>
      <c r="N70" s="2" t="inlineStr">
        <is>
          <t>4500L</t>
        </is>
      </c>
      <c r="O70" s="5">
        <f>IF($N70="","—",IF(COUNTIF(台帳マスタ!$A:$A,$N70)&gt;0,"登録あり","未登録"))</f>
        <v/>
      </c>
      <c r="P70" s="3" t="inlineStr"/>
      <c r="Q70" s="2" t="inlineStr">
        <is>
          <t>S05</t>
        </is>
      </c>
    </row>
    <row r="71">
      <c r="A71" s="2" t="n">
        <v>70</v>
      </c>
      <c r="B71" s="2" t="inlineStr">
        <is>
          <t>Ricoh</t>
        </is>
      </c>
      <c r="C71" s="2" t="inlineStr">
        <is>
          <t>Ricoh SP 4510</t>
        </is>
      </c>
      <c r="D71" s="2" t="n">
        <v>2</v>
      </c>
      <c r="E71" s="2" t="inlineStr">
        <is>
          <t>トナー</t>
        </is>
      </c>
      <c r="F71" s="2" t="inlineStr">
        <is>
          <t>ブラック</t>
        </is>
      </c>
      <c r="G71" s="3" t="inlineStr">
        <is>
          <t>RICOH SP トナー 4500</t>
        </is>
      </c>
      <c r="H71" s="2" t="inlineStr">
        <is>
          <t>4500</t>
        </is>
      </c>
      <c r="I71" s="2" t="inlineStr">
        <is>
          <t>600545</t>
        </is>
      </c>
      <c r="J71" s="4" t="n">
        <v>6000</v>
      </c>
      <c r="K71" s="4" t="n">
        <v>21900</v>
      </c>
      <c r="L71" s="2" t="inlineStr">
        <is>
          <t>メーカー標準価格（税別）</t>
        </is>
      </c>
      <c r="M71" s="2" t="inlineStr">
        <is>
          <t>あり</t>
        </is>
      </c>
      <c r="N71" s="2" t="inlineStr">
        <is>
          <t>4500</t>
        </is>
      </c>
      <c r="O71" s="5">
        <f>IF($N71="","—",IF(COUNTIF(台帳マスタ!$A:$A,$N71)&gt;0,"登録あり","未登録"))</f>
        <v/>
      </c>
      <c r="P71" s="3" t="inlineStr"/>
      <c r="Q71" s="2" t="inlineStr">
        <is>
          <t>S05</t>
        </is>
      </c>
    </row>
    <row r="72">
      <c r="A72" s="2" t="n">
        <v>71</v>
      </c>
      <c r="B72" s="2" t="inlineStr">
        <is>
          <t>Ricoh</t>
        </is>
      </c>
      <c r="C72" s="2" t="inlineStr">
        <is>
          <t>Ricoh SP 4510</t>
        </is>
      </c>
      <c r="D72" s="2" t="n">
        <v>2</v>
      </c>
      <c r="E72" s="2" t="inlineStr">
        <is>
          <t>トナー</t>
        </is>
      </c>
      <c r="F72" s="2" t="inlineStr">
        <is>
          <t>ブラック</t>
        </is>
      </c>
      <c r="G72" s="3" t="inlineStr">
        <is>
          <t>RICOH SP トナー 4500H（大容量）</t>
        </is>
      </c>
      <c r="H72" s="2" t="inlineStr">
        <is>
          <t>4500H</t>
        </is>
      </c>
      <c r="I72" s="2" t="inlineStr">
        <is>
          <t>600544</t>
        </is>
      </c>
      <c r="J72" s="4" t="n">
        <v>10000</v>
      </c>
      <c r="K72" s="4" t="n">
        <v>34300</v>
      </c>
      <c r="L72" s="2" t="inlineStr">
        <is>
          <t>メーカー標準価格（税別）</t>
        </is>
      </c>
      <c r="M72" s="2" t="inlineStr">
        <is>
          <t>あり</t>
        </is>
      </c>
      <c r="N72" s="2" t="inlineStr">
        <is>
          <t>トナー4500H</t>
        </is>
      </c>
      <c r="O72" s="5">
        <f>IF($N72="","—",IF(COUNTIF(台帳マスタ!$A:$A,$N72)&gt;0,"登録あり","未登録"))</f>
        <v/>
      </c>
      <c r="P72" s="3" t="inlineStr"/>
      <c r="Q72" s="2" t="inlineStr">
        <is>
          <t>S05</t>
        </is>
      </c>
    </row>
    <row r="73">
      <c r="A73" s="2" t="n">
        <v>72</v>
      </c>
      <c r="B73" s="2" t="inlineStr">
        <is>
          <t>Ricoh</t>
        </is>
      </c>
      <c r="C73" s="2" t="inlineStr">
        <is>
          <t>Ricoh SP 4510</t>
        </is>
      </c>
      <c r="D73" s="2" t="n">
        <v>2</v>
      </c>
      <c r="E73" s="2" t="inlineStr">
        <is>
          <t>ドラム</t>
        </is>
      </c>
      <c r="F73" s="2" t="inlineStr">
        <is>
          <t>—</t>
        </is>
      </c>
      <c r="G73" s="3" t="inlineStr">
        <is>
          <t>RICOH SP ドラムユニット 4500</t>
        </is>
      </c>
      <c r="H73" s="2" t="inlineStr">
        <is>
          <t>ドラムユニット4500</t>
        </is>
      </c>
      <c r="I73" s="2" t="inlineStr">
        <is>
          <t>512560</t>
        </is>
      </c>
      <c r="J73" s="4" t="n">
        <v>20000</v>
      </c>
      <c r="K73" s="4" t="n">
        <v>11100</v>
      </c>
      <c r="L73" s="2" t="inlineStr">
        <is>
          <t>メーカー標準価格（税別）</t>
        </is>
      </c>
      <c r="M73" s="2" t="inlineStr">
        <is>
          <t>あり</t>
        </is>
      </c>
      <c r="N73" s="2" t="inlineStr">
        <is>
          <t>ドラムユニット4500</t>
        </is>
      </c>
      <c r="O73" s="5">
        <f>IF($N73="","—",IF(COUNTIF(台帳マスタ!$A:$A,$N73)&gt;0,"登録あり","未登録"))</f>
        <v/>
      </c>
      <c r="P73" s="3" t="inlineStr"/>
      <c r="Q73" s="2" t="inlineStr">
        <is>
          <t>S05</t>
        </is>
      </c>
    </row>
    <row r="74">
      <c r="A74" s="2" t="n">
        <v>73</v>
      </c>
      <c r="B74" s="2" t="inlineStr">
        <is>
          <t>Ricoh</t>
        </is>
      </c>
      <c r="C74" s="2" t="inlineStr">
        <is>
          <t>Ricoh P C301SF</t>
        </is>
      </c>
      <c r="D74" s="2" t="n">
        <v>3</v>
      </c>
      <c r="E74" s="2" t="inlineStr">
        <is>
          <t>トナー</t>
        </is>
      </c>
      <c r="F74" s="2" t="inlineStr">
        <is>
          <t>ブラック</t>
        </is>
      </c>
      <c r="G74" s="3" t="inlineStr">
        <is>
          <t>トナーカートリッジ ブラック P C300</t>
        </is>
      </c>
      <c r="H74" s="2" t="inlineStr">
        <is>
          <t>P C300</t>
        </is>
      </c>
      <c r="I74" s="2" t="inlineStr">
        <is>
          <t>514233</t>
        </is>
      </c>
      <c r="J74" s="4" t="n">
        <v>2800</v>
      </c>
      <c r="K74" s="4" t="n">
        <v>9400</v>
      </c>
      <c r="L74" s="2" t="inlineStr">
        <is>
          <t>メーカー標準価格（税別）</t>
        </is>
      </c>
      <c r="M74" s="2" t="inlineStr">
        <is>
          <t>あり</t>
        </is>
      </c>
      <c r="N74" s="2" t="inlineStr">
        <is>
          <t>P C300</t>
        </is>
      </c>
      <c r="O74" s="5">
        <f>IF($N74="","—",IF(COUNTIF(台帳マスタ!$A:$A,$N74)&gt;0,"登録あり","未登録"))</f>
        <v/>
      </c>
      <c r="P74" s="3" t="inlineStr">
        <is>
          <t>標準容量</t>
        </is>
      </c>
      <c r="Q74" s="2" t="inlineStr">
        <is>
          <t>S01</t>
        </is>
      </c>
    </row>
    <row r="75">
      <c r="A75" s="2" t="n">
        <v>74</v>
      </c>
      <c r="B75" s="2" t="inlineStr">
        <is>
          <t>Ricoh</t>
        </is>
      </c>
      <c r="C75" s="2" t="inlineStr">
        <is>
          <t>Ricoh P C301SF</t>
        </is>
      </c>
      <c r="D75" s="2" t="n">
        <v>3</v>
      </c>
      <c r="E75" s="2" t="inlineStr">
        <is>
          <t>トナー</t>
        </is>
      </c>
      <c r="F75" s="2" t="inlineStr">
        <is>
          <t>シアン</t>
        </is>
      </c>
      <c r="G75" s="3" t="inlineStr">
        <is>
          <t>トナーカートリッジ シアン P C300</t>
        </is>
      </c>
      <c r="H75" s="2" t="inlineStr">
        <is>
          <t>P C300</t>
        </is>
      </c>
      <c r="I75" s="2" t="inlineStr">
        <is>
          <t>514234</t>
        </is>
      </c>
      <c r="J75" s="4" t="n">
        <v>2800</v>
      </c>
      <c r="K75" s="4" t="n">
        <v>11300</v>
      </c>
      <c r="L75" s="2" t="inlineStr">
        <is>
          <t>メーカー標準価格（税別）</t>
        </is>
      </c>
      <c r="M75" s="2" t="inlineStr">
        <is>
          <t>あり</t>
        </is>
      </c>
      <c r="N75" s="2" t="inlineStr">
        <is>
          <t>P C300</t>
        </is>
      </c>
      <c r="O75" s="5">
        <f>IF($N75="","—",IF(COUNTIF(台帳マスタ!$A:$A,$N75)&gt;0,"登録あり","未登録"))</f>
        <v/>
      </c>
      <c r="P75" s="3" t="inlineStr">
        <is>
          <t>標準容量</t>
        </is>
      </c>
      <c r="Q75" s="2" t="inlineStr">
        <is>
          <t>S01</t>
        </is>
      </c>
    </row>
    <row r="76">
      <c r="A76" s="2" t="n">
        <v>75</v>
      </c>
      <c r="B76" s="2" t="inlineStr">
        <is>
          <t>Ricoh</t>
        </is>
      </c>
      <c r="C76" s="2" t="inlineStr">
        <is>
          <t>Ricoh P C301SF</t>
        </is>
      </c>
      <c r="D76" s="2" t="n">
        <v>3</v>
      </c>
      <c r="E76" s="2" t="inlineStr">
        <is>
          <t>トナー</t>
        </is>
      </c>
      <c r="F76" s="2" t="inlineStr">
        <is>
          <t>マゼンタ</t>
        </is>
      </c>
      <c r="G76" s="3" t="inlineStr">
        <is>
          <t>トナーカートリッジ マゼンタ P C300</t>
        </is>
      </c>
      <c r="H76" s="2" t="inlineStr">
        <is>
          <t>P C300</t>
        </is>
      </c>
      <c r="I76" s="2" t="inlineStr">
        <is>
          <t>514235</t>
        </is>
      </c>
      <c r="J76" s="4" t="n">
        <v>2800</v>
      </c>
      <c r="K76" s="4" t="n">
        <v>11300</v>
      </c>
      <c r="L76" s="2" t="inlineStr">
        <is>
          <t>メーカー標準価格（税別）</t>
        </is>
      </c>
      <c r="M76" s="2" t="inlineStr">
        <is>
          <t>あり</t>
        </is>
      </c>
      <c r="N76" s="2" t="inlineStr">
        <is>
          <t>P C300</t>
        </is>
      </c>
      <c r="O76" s="5">
        <f>IF($N76="","—",IF(COUNTIF(台帳マスタ!$A:$A,$N76)&gt;0,"登録あり","未登録"))</f>
        <v/>
      </c>
      <c r="P76" s="3" t="inlineStr">
        <is>
          <t>標準容量</t>
        </is>
      </c>
      <c r="Q76" s="2" t="inlineStr">
        <is>
          <t>S01</t>
        </is>
      </c>
    </row>
    <row r="77">
      <c r="A77" s="2" t="n">
        <v>76</v>
      </c>
      <c r="B77" s="2" t="inlineStr">
        <is>
          <t>Ricoh</t>
        </is>
      </c>
      <c r="C77" s="2" t="inlineStr">
        <is>
          <t>Ricoh P C301SF</t>
        </is>
      </c>
      <c r="D77" s="2" t="n">
        <v>3</v>
      </c>
      <c r="E77" s="2" t="inlineStr">
        <is>
          <t>トナー</t>
        </is>
      </c>
      <c r="F77" s="2" t="inlineStr">
        <is>
          <t>イエロー</t>
        </is>
      </c>
      <c r="G77" s="3" t="inlineStr">
        <is>
          <t>トナーカートリッジ イエロー P C300</t>
        </is>
      </c>
      <c r="H77" s="2" t="inlineStr">
        <is>
          <t>P C300</t>
        </is>
      </c>
      <c r="I77" s="2" t="inlineStr">
        <is>
          <t>514236</t>
        </is>
      </c>
      <c r="J77" s="4" t="n">
        <v>2800</v>
      </c>
      <c r="K77" s="4" t="n">
        <v>11300</v>
      </c>
      <c r="L77" s="2" t="inlineStr">
        <is>
          <t>メーカー標準価格（税別）</t>
        </is>
      </c>
      <c r="M77" s="2" t="inlineStr">
        <is>
          <t>あり</t>
        </is>
      </c>
      <c r="N77" s="2" t="inlineStr">
        <is>
          <t>P C300</t>
        </is>
      </c>
      <c r="O77" s="5">
        <f>IF($N77="","—",IF(COUNTIF(台帳マスタ!$A:$A,$N77)&gt;0,"登録あり","未登録"))</f>
        <v/>
      </c>
      <c r="P77" s="3" t="inlineStr">
        <is>
          <t>標準容量</t>
        </is>
      </c>
      <c r="Q77" s="2" t="inlineStr">
        <is>
          <t>S01</t>
        </is>
      </c>
    </row>
    <row r="78">
      <c r="A78" s="2" t="n">
        <v>77</v>
      </c>
      <c r="B78" s="2" t="inlineStr">
        <is>
          <t>Ricoh</t>
        </is>
      </c>
      <c r="C78" s="2" t="inlineStr">
        <is>
          <t>Ricoh P C301SF</t>
        </is>
      </c>
      <c r="D78" s="2" t="n">
        <v>3</v>
      </c>
      <c r="E78" s="2" t="inlineStr">
        <is>
          <t>トナー</t>
        </is>
      </c>
      <c r="F78" s="2" t="inlineStr">
        <is>
          <t>ブラック</t>
        </is>
      </c>
      <c r="G78" s="3" t="inlineStr">
        <is>
          <t>トナーカートリッジ ブラック P C300H</t>
        </is>
      </c>
      <c r="H78" s="2" t="inlineStr">
        <is>
          <t>P C300H</t>
        </is>
      </c>
      <c r="I78" s="2" t="inlineStr">
        <is>
          <t>514229</t>
        </is>
      </c>
      <c r="J78" s="4" t="n">
        <v>6200</v>
      </c>
      <c r="K78" s="4" t="n">
        <v>18100</v>
      </c>
      <c r="L78" s="2" t="inlineStr">
        <is>
          <t>メーカー標準価格（税別）</t>
        </is>
      </c>
      <c r="M78" s="2" t="inlineStr">
        <is>
          <t>あり</t>
        </is>
      </c>
      <c r="N78" s="2" t="inlineStr">
        <is>
          <t>PC300H-BK</t>
        </is>
      </c>
      <c r="O78" s="5">
        <f>IF($N78="","—",IF(COUNTIF(台帳マスタ!$A:$A,$N78)&gt;0,"登録あり","未登録"))</f>
        <v/>
      </c>
      <c r="P78" s="3" t="inlineStr">
        <is>
          <t>大容量</t>
        </is>
      </c>
      <c r="Q78" s="2" t="inlineStr">
        <is>
          <t>S01</t>
        </is>
      </c>
    </row>
    <row r="79">
      <c r="A79" s="2" t="n">
        <v>78</v>
      </c>
      <c r="B79" s="2" t="inlineStr">
        <is>
          <t>Ricoh</t>
        </is>
      </c>
      <c r="C79" s="2" t="inlineStr">
        <is>
          <t>Ricoh P C301SF</t>
        </is>
      </c>
      <c r="D79" s="2" t="n">
        <v>3</v>
      </c>
      <c r="E79" s="2" t="inlineStr">
        <is>
          <t>トナー</t>
        </is>
      </c>
      <c r="F79" s="2" t="inlineStr">
        <is>
          <t>シアン</t>
        </is>
      </c>
      <c r="G79" s="3" t="inlineStr">
        <is>
          <t>トナーカートリッジ シアン P C300H</t>
        </is>
      </c>
      <c r="H79" s="2" t="inlineStr">
        <is>
          <t>P C300H</t>
        </is>
      </c>
      <c r="I79" s="2" t="inlineStr">
        <is>
          <t>514230</t>
        </is>
      </c>
      <c r="J79" s="4" t="n">
        <v>6200</v>
      </c>
      <c r="K79" s="4" t="n">
        <v>18700</v>
      </c>
      <c r="L79" s="2" t="inlineStr">
        <is>
          <t>メーカー標準価格（税別）</t>
        </is>
      </c>
      <c r="M79" s="2" t="inlineStr">
        <is>
          <t>あり</t>
        </is>
      </c>
      <c r="N79" s="2" t="inlineStr">
        <is>
          <t>PC300H-C</t>
        </is>
      </c>
      <c r="O79" s="5">
        <f>IF($N79="","—",IF(COUNTIF(台帳マスタ!$A:$A,$N79)&gt;0,"登録あり","未登録"))</f>
        <v/>
      </c>
      <c r="P79" s="3" t="inlineStr">
        <is>
          <t>大容量</t>
        </is>
      </c>
      <c r="Q79" s="2" t="inlineStr">
        <is>
          <t>S01</t>
        </is>
      </c>
    </row>
    <row r="80">
      <c r="A80" s="2" t="n">
        <v>79</v>
      </c>
      <c r="B80" s="2" t="inlineStr">
        <is>
          <t>Ricoh</t>
        </is>
      </c>
      <c r="C80" s="2" t="inlineStr">
        <is>
          <t>Ricoh P C301SF</t>
        </is>
      </c>
      <c r="D80" s="2" t="n">
        <v>3</v>
      </c>
      <c r="E80" s="2" t="inlineStr">
        <is>
          <t>トナー</t>
        </is>
      </c>
      <c r="F80" s="2" t="inlineStr">
        <is>
          <t>マゼンタ</t>
        </is>
      </c>
      <c r="G80" s="3" t="inlineStr">
        <is>
          <t>トナーカートリッジ マゼンタ P C300H</t>
        </is>
      </c>
      <c r="H80" s="2" t="inlineStr">
        <is>
          <t>P C300H</t>
        </is>
      </c>
      <c r="I80" s="2" t="inlineStr">
        <is>
          <t>514231</t>
        </is>
      </c>
      <c r="J80" s="4" t="n">
        <v>6200</v>
      </c>
      <c r="K80" s="4" t="n">
        <v>18700</v>
      </c>
      <c r="L80" s="2" t="inlineStr">
        <is>
          <t>メーカー標準価格（税別）</t>
        </is>
      </c>
      <c r="M80" s="2" t="inlineStr">
        <is>
          <t>あり</t>
        </is>
      </c>
      <c r="N80" s="2" t="inlineStr">
        <is>
          <t>PC300H-M</t>
        </is>
      </c>
      <c r="O80" s="5">
        <f>IF($N80="","—",IF(COUNTIF(台帳マスタ!$A:$A,$N80)&gt;0,"登録あり","未登録"))</f>
        <v/>
      </c>
      <c r="P80" s="3" t="inlineStr">
        <is>
          <t>大容量</t>
        </is>
      </c>
      <c r="Q80" s="2" t="inlineStr">
        <is>
          <t>S01</t>
        </is>
      </c>
    </row>
    <row r="81">
      <c r="A81" s="2" t="n">
        <v>80</v>
      </c>
      <c r="B81" s="2" t="inlineStr">
        <is>
          <t>Ricoh</t>
        </is>
      </c>
      <c r="C81" s="2" t="inlineStr">
        <is>
          <t>Ricoh P C301SF</t>
        </is>
      </c>
      <c r="D81" s="2" t="n">
        <v>3</v>
      </c>
      <c r="E81" s="2" t="inlineStr">
        <is>
          <t>トナー</t>
        </is>
      </c>
      <c r="F81" s="2" t="inlineStr">
        <is>
          <t>イエロー</t>
        </is>
      </c>
      <c r="G81" s="3" t="inlineStr">
        <is>
          <t>トナーカートリッジ イエロー P C300H</t>
        </is>
      </c>
      <c r="H81" s="2" t="inlineStr">
        <is>
          <t>P C300H</t>
        </is>
      </c>
      <c r="I81" s="2" t="inlineStr">
        <is>
          <t>514232</t>
        </is>
      </c>
      <c r="J81" s="4" t="n">
        <v>6200</v>
      </c>
      <c r="K81" s="4" t="n">
        <v>18700</v>
      </c>
      <c r="L81" s="2" t="inlineStr">
        <is>
          <t>メーカー標準価格（税別）</t>
        </is>
      </c>
      <c r="M81" s="2" t="inlineStr">
        <is>
          <t>あり</t>
        </is>
      </c>
      <c r="N81" s="2" t="inlineStr">
        <is>
          <t>PC300H-Y</t>
        </is>
      </c>
      <c r="O81" s="5">
        <f>IF($N81="","—",IF(COUNTIF(台帳マスタ!$A:$A,$N81)&gt;0,"登録あり","未登録"))</f>
        <v/>
      </c>
      <c r="P81" s="3" t="inlineStr">
        <is>
          <t>大容量</t>
        </is>
      </c>
      <c r="Q81" s="2" t="inlineStr">
        <is>
          <t>S01</t>
        </is>
      </c>
    </row>
    <row r="82">
      <c r="A82" s="2" t="n">
        <v>81</v>
      </c>
      <c r="B82" s="2" t="inlineStr">
        <is>
          <t>Ricoh</t>
        </is>
      </c>
      <c r="C82" s="2" t="inlineStr">
        <is>
          <t>Ricoh P C301SF</t>
        </is>
      </c>
      <c r="D82" s="2" t="n">
        <v>3</v>
      </c>
      <c r="E82" s="2" t="inlineStr">
        <is>
          <t>廃トナー</t>
        </is>
      </c>
      <c r="F82" s="2" t="inlineStr">
        <is>
          <t>—</t>
        </is>
      </c>
      <c r="G82" s="3" t="inlineStr">
        <is>
          <t>廃トナーボトル C220</t>
        </is>
      </c>
      <c r="H82" s="2" t="inlineStr">
        <is>
          <t>C220</t>
        </is>
      </c>
      <c r="I82" s="2" t="inlineStr">
        <is>
          <t>515285</t>
        </is>
      </c>
      <c r="J82" s="4" t="n">
        <v>25000</v>
      </c>
      <c r="K82" s="4" t="n">
        <v>3400</v>
      </c>
      <c r="L82" s="2" t="inlineStr">
        <is>
          <t>メーカー標準価格（税別）</t>
        </is>
      </c>
      <c r="M82" s="2" t="inlineStr">
        <is>
          <t>あり</t>
        </is>
      </c>
      <c r="N82" s="2" t="inlineStr">
        <is>
          <t>廃トナーボトルC220</t>
        </is>
      </c>
      <c r="O82" s="5">
        <f>IF($N82="","—",IF(COUNTIF(台帳マスタ!$A:$A,$N82)&gt;0,"登録あり","未登録"))</f>
        <v/>
      </c>
      <c r="P82" s="3" t="inlineStr"/>
      <c r="Q82" s="2" t="inlineStr">
        <is>
          <t>S01</t>
        </is>
      </c>
    </row>
    <row r="83">
      <c r="A83" s="2" t="n">
        <v>82</v>
      </c>
      <c r="B83" s="2" t="inlineStr">
        <is>
          <t>Ricoh</t>
        </is>
      </c>
      <c r="C83" s="2" t="inlineStr">
        <is>
          <t>Ricoh P501</t>
        </is>
      </c>
      <c r="D83" s="2" t="n">
        <v>12</v>
      </c>
      <c r="E83" s="2" t="inlineStr">
        <is>
          <t>トナー</t>
        </is>
      </c>
      <c r="F83" s="2" t="inlineStr">
        <is>
          <t>ブラック</t>
        </is>
      </c>
      <c r="G83" s="3" t="inlineStr">
        <is>
          <t>RICOH トナー P 500L</t>
        </is>
      </c>
      <c r="H83" s="2" t="inlineStr">
        <is>
          <t>P 500L</t>
        </is>
      </c>
      <c r="I83" s="2" t="inlineStr">
        <is>
          <t>514202</t>
        </is>
      </c>
      <c r="J83" s="4" t="n">
        <v>3000</v>
      </c>
      <c r="K83" s="4" t="n">
        <v>13600</v>
      </c>
      <c r="L83" s="2" t="inlineStr">
        <is>
          <t>メーカー標準価格（税別）</t>
        </is>
      </c>
      <c r="M83" s="2" t="inlineStr">
        <is>
          <t>あり</t>
        </is>
      </c>
      <c r="N83" s="2" t="inlineStr">
        <is>
          <t>P 500L</t>
        </is>
      </c>
      <c r="O83" s="5">
        <f>IF($N83="","—",IF(COUNTIF(台帳マスタ!$A:$A,$N83)&gt;0,"登録あり","未登録"))</f>
        <v/>
      </c>
      <c r="P83" s="3" t="inlineStr"/>
      <c r="Q83" s="2" t="inlineStr">
        <is>
          <t>S02</t>
        </is>
      </c>
    </row>
    <row r="84">
      <c r="A84" s="2" t="n">
        <v>83</v>
      </c>
      <c r="B84" s="2" t="inlineStr">
        <is>
          <t>Ricoh</t>
        </is>
      </c>
      <c r="C84" s="2" t="inlineStr">
        <is>
          <t>Ricoh P501</t>
        </is>
      </c>
      <c r="D84" s="2" t="n">
        <v>12</v>
      </c>
      <c r="E84" s="2" t="inlineStr">
        <is>
          <t>トナー</t>
        </is>
      </c>
      <c r="F84" s="2" t="inlineStr">
        <is>
          <t>ブラック</t>
        </is>
      </c>
      <c r="G84" s="3" t="inlineStr">
        <is>
          <t>RICOH トナー P 500</t>
        </is>
      </c>
      <c r="H84" s="2" t="inlineStr">
        <is>
          <t>P 500</t>
        </is>
      </c>
      <c r="I84" s="2" t="inlineStr">
        <is>
          <t>514203</t>
        </is>
      </c>
      <c r="J84" s="4" t="n">
        <v>10000</v>
      </c>
      <c r="K84" s="4" t="n">
        <v>37500</v>
      </c>
      <c r="L84" s="2" t="inlineStr">
        <is>
          <t>メーカー標準価格（税別）</t>
        </is>
      </c>
      <c r="M84" s="2" t="inlineStr">
        <is>
          <t>あり</t>
        </is>
      </c>
      <c r="N84" s="2" t="inlineStr">
        <is>
          <t>P 500</t>
        </is>
      </c>
      <c r="O84" s="5">
        <f>IF($N84="","—",IF(COUNTIF(台帳マスタ!$A:$A,$N84)&gt;0,"登録あり","未登録"))</f>
        <v/>
      </c>
      <c r="P84" s="3" t="inlineStr"/>
      <c r="Q84" s="2" t="inlineStr">
        <is>
          <t>S02</t>
        </is>
      </c>
    </row>
    <row r="85">
      <c r="A85" s="2" t="n">
        <v>84</v>
      </c>
      <c r="B85" s="2" t="inlineStr">
        <is>
          <t>Ricoh</t>
        </is>
      </c>
      <c r="C85" s="2" t="inlineStr">
        <is>
          <t>Ricoh P501</t>
        </is>
      </c>
      <c r="D85" s="2" t="n">
        <v>12</v>
      </c>
      <c r="E85" s="2" t="inlineStr">
        <is>
          <t>トナー</t>
        </is>
      </c>
      <c r="F85" s="2" t="inlineStr">
        <is>
          <t>ブラック</t>
        </is>
      </c>
      <c r="G85" s="3" t="inlineStr">
        <is>
          <t>RICOH トナー P 500H（大容量）</t>
        </is>
      </c>
      <c r="H85" s="2" t="inlineStr">
        <is>
          <t>P 500H</t>
        </is>
      </c>
      <c r="I85" s="2" t="inlineStr">
        <is>
          <t>514204</t>
        </is>
      </c>
      <c r="J85" s="4" t="n">
        <v>14000</v>
      </c>
      <c r="K85" s="4" t="n">
        <v>49400</v>
      </c>
      <c r="L85" s="2" t="inlineStr">
        <is>
          <t>メーカー標準価格（税別）</t>
        </is>
      </c>
      <c r="M85" s="2" t="inlineStr">
        <is>
          <t>あり</t>
        </is>
      </c>
      <c r="N85" s="2" t="inlineStr">
        <is>
          <t>P500H</t>
        </is>
      </c>
      <c r="O85" s="5">
        <f>IF($N85="","—",IF(COUNTIF(台帳マスタ!$A:$A,$N85)&gt;0,"登録あり","未登録"))</f>
        <v/>
      </c>
      <c r="P85" s="3" t="inlineStr"/>
      <c r="Q85" s="2" t="inlineStr">
        <is>
          <t>S02</t>
        </is>
      </c>
    </row>
    <row r="86">
      <c r="A86" s="2" t="n">
        <v>85</v>
      </c>
      <c r="B86" s="2" t="inlineStr">
        <is>
          <t>Ricoh</t>
        </is>
      </c>
      <c r="C86" s="2" t="inlineStr">
        <is>
          <t>Ricoh P501</t>
        </is>
      </c>
      <c r="D86" s="2" t="n">
        <v>12</v>
      </c>
      <c r="E86" s="2" t="inlineStr">
        <is>
          <t>ドラム</t>
        </is>
      </c>
      <c r="F86" s="2" t="inlineStr">
        <is>
          <t>—</t>
        </is>
      </c>
      <c r="G86" s="3" t="inlineStr">
        <is>
          <t>RICOH ドラムユニット P 500</t>
        </is>
      </c>
      <c r="H86" s="2" t="inlineStr">
        <is>
          <t>ドラムユニット P 500</t>
        </is>
      </c>
      <c r="I86" s="2" t="inlineStr">
        <is>
          <t>514205</t>
        </is>
      </c>
      <c r="J86" s="4" t="n">
        <v>40000</v>
      </c>
      <c r="K86" s="4" t="n">
        <v>17700</v>
      </c>
      <c r="L86" s="2" t="inlineStr">
        <is>
          <t>メーカー標準価格（税別）</t>
        </is>
      </c>
      <c r="M86" s="2" t="inlineStr">
        <is>
          <t>あり</t>
        </is>
      </c>
      <c r="N86" s="2" t="inlineStr">
        <is>
          <t>ドラムユニットP500</t>
        </is>
      </c>
      <c r="O86" s="5">
        <f>IF($N86="","—",IF(COUNTIF(台帳マスタ!$A:$A,$N86)&gt;0,"登録あり","未登録"))</f>
        <v/>
      </c>
      <c r="P86" s="3" t="inlineStr">
        <is>
          <t>約4万ページで交換</t>
        </is>
      </c>
      <c r="Q86" s="2" t="inlineStr">
        <is>
          <t>S02</t>
        </is>
      </c>
    </row>
    <row r="87">
      <c r="A87" s="2" t="n">
        <v>86</v>
      </c>
      <c r="B87" s="2" t="inlineStr">
        <is>
          <t>Ricoh</t>
        </is>
      </c>
      <c r="C87" s="2" t="inlineStr">
        <is>
          <t>Ricoh SP 3610</t>
        </is>
      </c>
      <c r="D87" s="2" t="n">
        <v>1</v>
      </c>
      <c r="E87" s="2" t="inlineStr">
        <is>
          <t>トナー</t>
        </is>
      </c>
      <c r="F87" s="2" t="inlineStr">
        <is>
          <t>ブラック</t>
        </is>
      </c>
      <c r="G87" s="3" t="inlineStr">
        <is>
          <t>RICOH SP トナー 4500L</t>
        </is>
      </c>
      <c r="H87" s="2" t="inlineStr">
        <is>
          <t>4500L</t>
        </is>
      </c>
      <c r="I87" s="2" t="inlineStr">
        <is>
          <t>600546</t>
        </is>
      </c>
      <c r="J87" s="4" t="n">
        <v>3000</v>
      </c>
      <c r="K87" s="4" t="n">
        <v>13300</v>
      </c>
      <c r="L87" s="2" t="inlineStr">
        <is>
          <t>メーカー標準価格（税別）</t>
        </is>
      </c>
      <c r="M87" s="2" t="inlineStr">
        <is>
          <t>あり</t>
        </is>
      </c>
      <c r="N87" s="2" t="inlineStr">
        <is>
          <t>4500L</t>
        </is>
      </c>
      <c r="O87" s="5">
        <f>IF($N87="","—",IF(COUNTIF(台帳マスタ!$A:$A,$N87)&gt;0,"登録あり","未登録"))</f>
        <v/>
      </c>
      <c r="P87" s="3" t="inlineStr"/>
      <c r="Q87" s="2" t="inlineStr">
        <is>
          <t>S03</t>
        </is>
      </c>
    </row>
    <row r="88">
      <c r="A88" s="2" t="n">
        <v>87</v>
      </c>
      <c r="B88" s="2" t="inlineStr">
        <is>
          <t>Ricoh</t>
        </is>
      </c>
      <c r="C88" s="2" t="inlineStr">
        <is>
          <t>Ricoh SP 3610</t>
        </is>
      </c>
      <c r="D88" s="2" t="n">
        <v>1</v>
      </c>
      <c r="E88" s="2" t="inlineStr">
        <is>
          <t>トナー</t>
        </is>
      </c>
      <c r="F88" s="2" t="inlineStr">
        <is>
          <t>ブラック</t>
        </is>
      </c>
      <c r="G88" s="3" t="inlineStr">
        <is>
          <t>RICOH SP トナー 4500</t>
        </is>
      </c>
      <c r="H88" s="2" t="inlineStr">
        <is>
          <t>4500</t>
        </is>
      </c>
      <c r="I88" s="2" t="inlineStr">
        <is>
          <t>600545</t>
        </is>
      </c>
      <c r="J88" s="4" t="n">
        <v>6000</v>
      </c>
      <c r="K88" s="4" t="n">
        <v>21900</v>
      </c>
      <c r="L88" s="2" t="inlineStr">
        <is>
          <t>メーカー標準価格（税別）</t>
        </is>
      </c>
      <c r="M88" s="2" t="inlineStr">
        <is>
          <t>あり</t>
        </is>
      </c>
      <c r="N88" s="2" t="inlineStr">
        <is>
          <t>4500</t>
        </is>
      </c>
      <c r="O88" s="5">
        <f>IF($N88="","—",IF(COUNTIF(台帳マスタ!$A:$A,$N88)&gt;0,"登録あり","未登録"))</f>
        <v/>
      </c>
      <c r="P88" s="3" t="inlineStr"/>
      <c r="Q88" s="2" t="inlineStr">
        <is>
          <t>S03</t>
        </is>
      </c>
    </row>
    <row r="89">
      <c r="A89" s="2" t="n">
        <v>88</v>
      </c>
      <c r="B89" s="2" t="inlineStr">
        <is>
          <t>Ricoh</t>
        </is>
      </c>
      <c r="C89" s="2" t="inlineStr">
        <is>
          <t>Ricoh SP 3610</t>
        </is>
      </c>
      <c r="D89" s="2" t="n">
        <v>1</v>
      </c>
      <c r="E89" s="2" t="inlineStr">
        <is>
          <t>トナー</t>
        </is>
      </c>
      <c r="F89" s="2" t="inlineStr">
        <is>
          <t>ブラック</t>
        </is>
      </c>
      <c r="G89" s="3" t="inlineStr">
        <is>
          <t>RICOH SP トナー 4500H（大容量）</t>
        </is>
      </c>
      <c r="H89" s="2" t="inlineStr">
        <is>
          <t>4500H</t>
        </is>
      </c>
      <c r="I89" s="2" t="inlineStr">
        <is>
          <t>600544</t>
        </is>
      </c>
      <c r="J89" s="4" t="n">
        <v>10000</v>
      </c>
      <c r="K89" s="4" t="n">
        <v>34300</v>
      </c>
      <c r="L89" s="2" t="inlineStr">
        <is>
          <t>メーカー標準価格（税別）</t>
        </is>
      </c>
      <c r="M89" s="2" t="inlineStr">
        <is>
          <t>あり</t>
        </is>
      </c>
      <c r="N89" s="2" t="inlineStr">
        <is>
          <t>トナー4500H</t>
        </is>
      </c>
      <c r="O89" s="5">
        <f>IF($N89="","—",IF(COUNTIF(台帳マスタ!$A:$A,$N89)&gt;0,"登録あり","未登録"))</f>
        <v/>
      </c>
      <c r="P89" s="3" t="inlineStr">
        <is>
          <t>SP 3610 の公式消耗品ページには記載なし（SP 4510/4500 用）。要確認</t>
        </is>
      </c>
      <c r="Q89" s="2" t="inlineStr">
        <is>
          <t>S05</t>
        </is>
      </c>
    </row>
    <row r="90">
      <c r="A90" s="2" t="n">
        <v>89</v>
      </c>
      <c r="B90" s="2" t="inlineStr">
        <is>
          <t>Ricoh</t>
        </is>
      </c>
      <c r="C90" s="2" t="inlineStr">
        <is>
          <t>Ricoh SP 3610</t>
        </is>
      </c>
      <c r="D90" s="2" t="n">
        <v>1</v>
      </c>
      <c r="E90" s="2" t="inlineStr">
        <is>
          <t>ドラム</t>
        </is>
      </c>
      <c r="F90" s="2" t="inlineStr">
        <is>
          <t>—</t>
        </is>
      </c>
      <c r="G90" s="3" t="inlineStr">
        <is>
          <t>RICOH SP ドラムユニット 4500</t>
        </is>
      </c>
      <c r="H90" s="2" t="inlineStr">
        <is>
          <t>ドラムユニット4500</t>
        </is>
      </c>
      <c r="I90" s="2" t="inlineStr">
        <is>
          <t>512560</t>
        </is>
      </c>
      <c r="J90" s="4" t="n">
        <v>20000</v>
      </c>
      <c r="K90" s="4" t="n">
        <v>11100</v>
      </c>
      <c r="L90" s="2" t="inlineStr">
        <is>
          <t>メーカー標準価格（税別）</t>
        </is>
      </c>
      <c r="M90" s="2" t="inlineStr">
        <is>
          <t>あり</t>
        </is>
      </c>
      <c r="N90" s="2" t="inlineStr">
        <is>
          <t>ドラムユニット4500</t>
        </is>
      </c>
      <c r="O90" s="5">
        <f>IF($N90="","—",IF(COUNTIF(台帳マスタ!$A:$A,$N90)&gt;0,"登録あり","未登録"))</f>
        <v/>
      </c>
      <c r="P90" s="3" t="inlineStr"/>
      <c r="Q90" s="2" t="inlineStr">
        <is>
          <t>S03</t>
        </is>
      </c>
    </row>
    <row r="91">
      <c r="A91" s="2" t="n">
        <v>90</v>
      </c>
      <c r="B91" s="2" t="inlineStr">
        <is>
          <t>Ricoh</t>
        </is>
      </c>
      <c r="C91" s="2" t="inlineStr">
        <is>
          <t>Ricoh SP 4310</t>
        </is>
      </c>
      <c r="D91" s="2" t="n">
        <v>2</v>
      </c>
      <c r="E91" s="2" t="inlineStr">
        <is>
          <t>トナー</t>
        </is>
      </c>
      <c r="F91" s="2" t="inlineStr">
        <is>
          <t>ブラック</t>
        </is>
      </c>
      <c r="G91" s="3" t="inlineStr">
        <is>
          <t>IPSiO SP トナーカートリッジ 4200</t>
        </is>
      </c>
      <c r="H91" s="2" t="inlineStr">
        <is>
          <t>4200</t>
        </is>
      </c>
      <c r="I91" s="2" t="inlineStr">
        <is>
          <t>308534</t>
        </is>
      </c>
      <c r="J91" s="4" t="n">
        <v>6000</v>
      </c>
      <c r="K91" s="4" t="n">
        <v>33100</v>
      </c>
      <c r="L91" s="2" t="inlineStr">
        <is>
          <t>メーカー標準価格（税別）</t>
        </is>
      </c>
      <c r="M91" s="2" t="inlineStr">
        <is>
          <t>あり</t>
        </is>
      </c>
      <c r="N91" s="2" t="inlineStr">
        <is>
          <t>トナー4200</t>
        </is>
      </c>
      <c r="O91" s="5">
        <f>IF($N91="","—",IF(COUNTIF(台帳マスタ!$A:$A,$N91)&gt;0,"登録あり","未登録"))</f>
        <v/>
      </c>
      <c r="P91" s="3" t="inlineStr"/>
      <c r="Q91" s="2" t="inlineStr">
        <is>
          <t>S04</t>
        </is>
      </c>
    </row>
    <row r="92">
      <c r="A92" s="2" t="n">
        <v>91</v>
      </c>
      <c r="B92" s="2" t="inlineStr">
        <is>
          <t>Ricoh</t>
        </is>
      </c>
      <c r="C92" s="2" t="inlineStr">
        <is>
          <t>Ricoh SP 4310</t>
        </is>
      </c>
      <c r="D92" s="2" t="n">
        <v>2</v>
      </c>
      <c r="E92" s="2" t="inlineStr">
        <is>
          <t>トナー</t>
        </is>
      </c>
      <c r="F92" s="2" t="inlineStr">
        <is>
          <t>ブラック</t>
        </is>
      </c>
      <c r="G92" s="3" t="inlineStr">
        <is>
          <t>IPSiO SP トナーカートリッジ 4200H（大容量）</t>
        </is>
      </c>
      <c r="H92" s="2" t="inlineStr">
        <is>
          <t>4200H</t>
        </is>
      </c>
      <c r="I92" s="2" t="inlineStr">
        <is>
          <t>308535</t>
        </is>
      </c>
      <c r="J92" s="4" t="n">
        <v>12000</v>
      </c>
      <c r="K92" s="4" t="n">
        <v>53000</v>
      </c>
      <c r="L92" s="2" t="inlineStr">
        <is>
          <t>メーカー標準価格（税別）</t>
        </is>
      </c>
      <c r="M92" s="2" t="inlineStr">
        <is>
          <t>あり</t>
        </is>
      </c>
      <c r="N92" s="2" t="inlineStr">
        <is>
          <t>4200H</t>
        </is>
      </c>
      <c r="O92" s="5">
        <f>IF($N92="","—",IF(COUNTIF(台帳マスタ!$A:$A,$N92)&gt;0,"登録あり","未登録"))</f>
        <v/>
      </c>
      <c r="P92" s="3" t="inlineStr"/>
      <c r="Q92" s="2" t="inlineStr">
        <is>
          <t>S04</t>
        </is>
      </c>
    </row>
    <row r="93">
      <c r="A93" s="2" t="n">
        <v>92</v>
      </c>
      <c r="B93" s="2" t="inlineStr">
        <is>
          <t>Ricoh</t>
        </is>
      </c>
      <c r="C93" s="2" t="inlineStr">
        <is>
          <t>Ricoh SP 4310</t>
        </is>
      </c>
      <c r="D93" s="2" t="n">
        <v>2</v>
      </c>
      <c r="E93" s="2" t="inlineStr">
        <is>
          <t>トナー</t>
        </is>
      </c>
      <c r="F93" s="2" t="inlineStr">
        <is>
          <t>ブラック</t>
        </is>
      </c>
      <c r="G93" s="3" t="inlineStr">
        <is>
          <t>IPSiO SPEC トナーカートリッジ 4200</t>
        </is>
      </c>
      <c r="H93" s="2" t="inlineStr">
        <is>
          <t>4200 SPEC</t>
        </is>
      </c>
      <c r="I93" s="2" t="inlineStr">
        <is>
          <t>308636</t>
        </is>
      </c>
      <c r="J93" s="4" t="n">
        <v>6000</v>
      </c>
      <c r="K93" s="4" t="n">
        <v>29900</v>
      </c>
      <c r="L93" s="2" t="inlineStr">
        <is>
          <t>メーカー標準価格（税別）</t>
        </is>
      </c>
      <c r="M93" s="2" t="inlineStr">
        <is>
          <t>あり</t>
        </is>
      </c>
      <c r="N93" s="2" t="inlineStr">
        <is>
          <t>4200 SPEC</t>
        </is>
      </c>
      <c r="O93" s="5">
        <f>IF($N93="","—",IF(COUNTIF(台帳マスタ!$A:$A,$N93)&gt;0,"登録あり","未登録"))</f>
        <v/>
      </c>
      <c r="P93" s="3" t="inlineStr">
        <is>
          <t>使用後にリコーへ返却する前提の廉価品</t>
        </is>
      </c>
      <c r="Q93" s="2" t="inlineStr">
        <is>
          <t>S04</t>
        </is>
      </c>
    </row>
    <row r="94">
      <c r="A94" s="2" t="n">
        <v>93</v>
      </c>
      <c r="B94" s="2" t="inlineStr">
        <is>
          <t>Ricoh</t>
        </is>
      </c>
      <c r="C94" s="2" t="inlineStr">
        <is>
          <t>Ricoh SP 4310</t>
        </is>
      </c>
      <c r="D94" s="2" t="n">
        <v>2</v>
      </c>
      <c r="E94" s="2" t="inlineStr">
        <is>
          <t>トナー</t>
        </is>
      </c>
      <c r="F94" s="2" t="inlineStr">
        <is>
          <t>ブラック</t>
        </is>
      </c>
      <c r="G94" s="3" t="inlineStr">
        <is>
          <t>IPSiO SPEC トナーカートリッジ 4200H</t>
        </is>
      </c>
      <c r="H94" s="2" t="inlineStr">
        <is>
          <t>4200H SPEC</t>
        </is>
      </c>
      <c r="I94" s="2" t="inlineStr">
        <is>
          <t>308637</t>
        </is>
      </c>
      <c r="J94" s="4" t="n">
        <v>12000</v>
      </c>
      <c r="K94" s="4" t="n">
        <v>47700</v>
      </c>
      <c r="L94" s="2" t="inlineStr">
        <is>
          <t>メーカー標準価格（税別）</t>
        </is>
      </c>
      <c r="M94" s="2" t="inlineStr">
        <is>
          <t>あり</t>
        </is>
      </c>
      <c r="N94" s="2" t="inlineStr">
        <is>
          <t>4200H SPEC</t>
        </is>
      </c>
      <c r="O94" s="5">
        <f>IF($N94="","—",IF(COUNTIF(台帳マスタ!$A:$A,$N94)&gt;0,"登録あり","未登録"))</f>
        <v/>
      </c>
      <c r="P94" s="3" t="inlineStr">
        <is>
          <t>使用後にリコーへ返却する前提の廉価品</t>
        </is>
      </c>
      <c r="Q94" s="2" t="inlineStr">
        <is>
          <t>S04</t>
        </is>
      </c>
    </row>
    <row r="95">
      <c r="A95" s="2" t="n">
        <v>94</v>
      </c>
      <c r="B95" s="2" t="inlineStr">
        <is>
          <t>Ricoh</t>
        </is>
      </c>
      <c r="C95" s="2" t="inlineStr">
        <is>
          <t>Ricoh SP 4310</t>
        </is>
      </c>
      <c r="D95" s="2" t="n">
        <v>2</v>
      </c>
      <c r="E95" s="2" t="inlineStr">
        <is>
          <t>ドラム</t>
        </is>
      </c>
      <c r="F95" s="2" t="inlineStr">
        <is>
          <t>—</t>
        </is>
      </c>
      <c r="G95" s="3" t="inlineStr">
        <is>
          <t>（公式消耗品ページに感光体の記載なし）</t>
        </is>
      </c>
      <c r="H95" s="2" t="inlineStr">
        <is>
          <t>—</t>
        </is>
      </c>
      <c r="I95" s="2" t="inlineStr"/>
      <c r="J95" s="4" t="n"/>
      <c r="K95" s="4" t="n"/>
      <c r="L95" s="2" t="inlineStr">
        <is>
          <t>—</t>
        </is>
      </c>
      <c r="M95" s="2" t="inlineStr">
        <is>
          <t>あり</t>
        </is>
      </c>
      <c r="N95" s="2" t="inlineStr"/>
      <c r="O95" s="5">
        <f>IF($N95="","—",IF(COUNTIF(台帳マスタ!$A:$A,$N95)&gt;0,"登録あり","未登録"))</f>
        <v/>
      </c>
      <c r="P95" s="3" t="inlineStr">
        <is>
          <t>サービス部品扱いとみられる</t>
        </is>
      </c>
      <c r="Q95" s="2" t="inlineStr">
        <is>
          <t>S04</t>
        </is>
      </c>
    </row>
    <row r="96">
      <c r="A96" s="2" t="n">
        <v>95</v>
      </c>
      <c r="B96" s="2" t="inlineStr">
        <is>
          <t>Ricoh</t>
        </is>
      </c>
      <c r="C96" s="2" t="inlineStr">
        <is>
          <t>Ricoh SP C320</t>
        </is>
      </c>
      <c r="D96" s="2" t="n">
        <v>1</v>
      </c>
      <c r="E96" s="2" t="inlineStr">
        <is>
          <t>トナー</t>
        </is>
      </c>
      <c r="F96" s="2" t="inlineStr">
        <is>
          <t>ブラック</t>
        </is>
      </c>
      <c r="G96" s="3" t="inlineStr">
        <is>
          <t>IPSiO SP トナー ブラック C310</t>
        </is>
      </c>
      <c r="H96" s="2" t="inlineStr">
        <is>
          <t>C310</t>
        </is>
      </c>
      <c r="I96" s="2" t="inlineStr">
        <is>
          <t>308504</t>
        </is>
      </c>
      <c r="J96" s="4" t="n">
        <v>2200</v>
      </c>
      <c r="K96" s="4" t="n">
        <v>8300</v>
      </c>
      <c r="L96" s="2" t="inlineStr">
        <is>
          <t>メーカー標準価格（税別）</t>
        </is>
      </c>
      <c r="M96" s="2" t="inlineStr">
        <is>
          <t>あり</t>
        </is>
      </c>
      <c r="N96" s="2" t="inlineStr">
        <is>
          <t>C310</t>
        </is>
      </c>
      <c r="O96" s="5">
        <f>IF($N96="","—",IF(COUNTIF(台帳マスタ!$A:$A,$N96)&gt;0,"登録あり","未登録"))</f>
        <v/>
      </c>
      <c r="P96" s="3" t="inlineStr">
        <is>
          <t>標準容量</t>
        </is>
      </c>
      <c r="Q96" s="2" t="inlineStr">
        <is>
          <t>S06</t>
        </is>
      </c>
    </row>
    <row r="97">
      <c r="A97" s="2" t="n">
        <v>96</v>
      </c>
      <c r="B97" s="2" t="inlineStr">
        <is>
          <t>Ricoh</t>
        </is>
      </c>
      <c r="C97" s="2" t="inlineStr">
        <is>
          <t>Ricoh SP C320</t>
        </is>
      </c>
      <c r="D97" s="2" t="n">
        <v>1</v>
      </c>
      <c r="E97" s="2" t="inlineStr">
        <is>
          <t>トナー</t>
        </is>
      </c>
      <c r="F97" s="2" t="inlineStr">
        <is>
          <t>シアン</t>
        </is>
      </c>
      <c r="G97" s="3" t="inlineStr">
        <is>
          <t>IPSiO SP トナー シアン C310</t>
        </is>
      </c>
      <c r="H97" s="2" t="inlineStr">
        <is>
          <t>C310</t>
        </is>
      </c>
      <c r="I97" s="2" t="inlineStr">
        <is>
          <t>308505</t>
        </is>
      </c>
      <c r="J97" s="4" t="n">
        <v>2200</v>
      </c>
      <c r="K97" s="4" t="n">
        <v>10000</v>
      </c>
      <c r="L97" s="2" t="inlineStr">
        <is>
          <t>メーカー標準価格（税別）</t>
        </is>
      </c>
      <c r="M97" s="2" t="inlineStr">
        <is>
          <t>あり</t>
        </is>
      </c>
      <c r="N97" s="2" t="inlineStr">
        <is>
          <t>C310</t>
        </is>
      </c>
      <c r="O97" s="5">
        <f>IF($N97="","—",IF(COUNTIF(台帳マスタ!$A:$A,$N97)&gt;0,"登録あり","未登録"))</f>
        <v/>
      </c>
      <c r="P97" s="3" t="inlineStr">
        <is>
          <t>標準容量</t>
        </is>
      </c>
      <c r="Q97" s="2" t="inlineStr">
        <is>
          <t>S06</t>
        </is>
      </c>
    </row>
    <row r="98">
      <c r="A98" s="2" t="n">
        <v>97</v>
      </c>
      <c r="B98" s="2" t="inlineStr">
        <is>
          <t>Ricoh</t>
        </is>
      </c>
      <c r="C98" s="2" t="inlineStr">
        <is>
          <t>Ricoh SP C320</t>
        </is>
      </c>
      <c r="D98" s="2" t="n">
        <v>1</v>
      </c>
      <c r="E98" s="2" t="inlineStr">
        <is>
          <t>トナー</t>
        </is>
      </c>
      <c r="F98" s="2" t="inlineStr">
        <is>
          <t>マゼンタ</t>
        </is>
      </c>
      <c r="G98" s="3" t="inlineStr">
        <is>
          <t>IPSiO SP トナー マゼンタ C310</t>
        </is>
      </c>
      <c r="H98" s="2" t="inlineStr">
        <is>
          <t>C310</t>
        </is>
      </c>
      <c r="I98" s="2" t="inlineStr">
        <is>
          <t>308506</t>
        </is>
      </c>
      <c r="J98" s="4" t="n">
        <v>2200</v>
      </c>
      <c r="K98" s="4" t="n">
        <v>10000</v>
      </c>
      <c r="L98" s="2" t="inlineStr">
        <is>
          <t>メーカー標準価格（税別）</t>
        </is>
      </c>
      <c r="M98" s="2" t="inlineStr">
        <is>
          <t>あり</t>
        </is>
      </c>
      <c r="N98" s="2" t="inlineStr">
        <is>
          <t>C310</t>
        </is>
      </c>
      <c r="O98" s="5">
        <f>IF($N98="","—",IF(COUNTIF(台帳マスタ!$A:$A,$N98)&gt;0,"登録あり","未登録"))</f>
        <v/>
      </c>
      <c r="P98" s="3" t="inlineStr">
        <is>
          <t>標準容量</t>
        </is>
      </c>
      <c r="Q98" s="2" t="inlineStr">
        <is>
          <t>S06</t>
        </is>
      </c>
    </row>
    <row r="99">
      <c r="A99" s="2" t="n">
        <v>98</v>
      </c>
      <c r="B99" s="2" t="inlineStr">
        <is>
          <t>Ricoh</t>
        </is>
      </c>
      <c r="C99" s="2" t="inlineStr">
        <is>
          <t>Ricoh SP C320</t>
        </is>
      </c>
      <c r="D99" s="2" t="n">
        <v>1</v>
      </c>
      <c r="E99" s="2" t="inlineStr">
        <is>
          <t>トナー</t>
        </is>
      </c>
      <c r="F99" s="2" t="inlineStr">
        <is>
          <t>イエロー</t>
        </is>
      </c>
      <c r="G99" s="3" t="inlineStr">
        <is>
          <t>IPSiO SP トナー イエロー C310</t>
        </is>
      </c>
      <c r="H99" s="2" t="inlineStr">
        <is>
          <t>C310</t>
        </is>
      </c>
      <c r="I99" s="2" t="inlineStr">
        <is>
          <t>308507</t>
        </is>
      </c>
      <c r="J99" s="4" t="n">
        <v>2200</v>
      </c>
      <c r="K99" s="4" t="n">
        <v>10000</v>
      </c>
      <c r="L99" s="2" t="inlineStr">
        <is>
          <t>メーカー標準価格（税別）</t>
        </is>
      </c>
      <c r="M99" s="2" t="inlineStr">
        <is>
          <t>あり</t>
        </is>
      </c>
      <c r="N99" s="2" t="inlineStr">
        <is>
          <t>C310</t>
        </is>
      </c>
      <c r="O99" s="5">
        <f>IF($N99="","—",IF(COUNTIF(台帳マスタ!$A:$A,$N99)&gt;0,"登録あり","未登録"))</f>
        <v/>
      </c>
      <c r="P99" s="3" t="inlineStr">
        <is>
          <t>標準容量</t>
        </is>
      </c>
      <c r="Q99" s="2" t="inlineStr">
        <is>
          <t>S06</t>
        </is>
      </c>
    </row>
    <row r="100">
      <c r="A100" s="2" t="n">
        <v>99</v>
      </c>
      <c r="B100" s="2" t="inlineStr">
        <is>
          <t>Ricoh</t>
        </is>
      </c>
      <c r="C100" s="2" t="inlineStr">
        <is>
          <t>Ricoh SP C320</t>
        </is>
      </c>
      <c r="D100" s="2" t="n">
        <v>1</v>
      </c>
      <c r="E100" s="2" t="inlineStr">
        <is>
          <t>トナー</t>
        </is>
      </c>
      <c r="F100" s="2" t="inlineStr">
        <is>
          <t>ブラック</t>
        </is>
      </c>
      <c r="G100" s="3" t="inlineStr">
        <is>
          <t>IPSiO SP トナー ブラック C310H</t>
        </is>
      </c>
      <c r="H100" s="2" t="inlineStr">
        <is>
          <t>C310H</t>
        </is>
      </c>
      <c r="I100" s="2" t="inlineStr">
        <is>
          <t>308500</t>
        </is>
      </c>
      <c r="J100" s="4" t="n">
        <v>5000</v>
      </c>
      <c r="K100" s="4" t="n">
        <v>16100</v>
      </c>
      <c r="L100" s="2" t="inlineStr">
        <is>
          <t>メーカー標準価格（税別）</t>
        </is>
      </c>
      <c r="M100" s="2" t="inlineStr">
        <is>
          <t>あり</t>
        </is>
      </c>
      <c r="N100" s="2" t="inlineStr">
        <is>
          <t>C310H-BK</t>
        </is>
      </c>
      <c r="O100" s="5">
        <f>IF($N100="","—",IF(COUNTIF(台帳マスタ!$A:$A,$N100)&gt;0,"登録あり","未登録"))</f>
        <v/>
      </c>
      <c r="P100" s="3" t="inlineStr">
        <is>
          <t>大容量</t>
        </is>
      </c>
      <c r="Q100" s="2" t="inlineStr">
        <is>
          <t>S06</t>
        </is>
      </c>
    </row>
    <row r="101">
      <c r="A101" s="2" t="n">
        <v>100</v>
      </c>
      <c r="B101" s="2" t="inlineStr">
        <is>
          <t>Ricoh</t>
        </is>
      </c>
      <c r="C101" s="2" t="inlineStr">
        <is>
          <t>Ricoh SP C320</t>
        </is>
      </c>
      <c r="D101" s="2" t="n">
        <v>1</v>
      </c>
      <c r="E101" s="2" t="inlineStr">
        <is>
          <t>トナー</t>
        </is>
      </c>
      <c r="F101" s="2" t="inlineStr">
        <is>
          <t>シアン</t>
        </is>
      </c>
      <c r="G101" s="3" t="inlineStr">
        <is>
          <t>IPSiO SP トナー シアン C310H</t>
        </is>
      </c>
      <c r="H101" s="2" t="inlineStr">
        <is>
          <t>C310H</t>
        </is>
      </c>
      <c r="I101" s="2" t="inlineStr">
        <is>
          <t>308501</t>
        </is>
      </c>
      <c r="J101" s="4" t="n">
        <v>5000</v>
      </c>
      <c r="K101" s="4" t="n">
        <v>16600</v>
      </c>
      <c r="L101" s="2" t="inlineStr">
        <is>
          <t>メーカー標準価格（税別）</t>
        </is>
      </c>
      <c r="M101" s="2" t="inlineStr">
        <is>
          <t>あり</t>
        </is>
      </c>
      <c r="N101" s="2" t="inlineStr">
        <is>
          <t>C310H-C</t>
        </is>
      </c>
      <c r="O101" s="5">
        <f>IF($N101="","—",IF(COUNTIF(台帳マスタ!$A:$A,$N101)&gt;0,"登録あり","未登録"))</f>
        <v/>
      </c>
      <c r="P101" s="3" t="inlineStr">
        <is>
          <t>大容量</t>
        </is>
      </c>
      <c r="Q101" s="2" t="inlineStr">
        <is>
          <t>S06</t>
        </is>
      </c>
    </row>
    <row r="102">
      <c r="A102" s="2" t="n">
        <v>101</v>
      </c>
      <c r="B102" s="2" t="inlineStr">
        <is>
          <t>Ricoh</t>
        </is>
      </c>
      <c r="C102" s="2" t="inlineStr">
        <is>
          <t>Ricoh SP C320</t>
        </is>
      </c>
      <c r="D102" s="2" t="n">
        <v>1</v>
      </c>
      <c r="E102" s="2" t="inlineStr">
        <is>
          <t>トナー</t>
        </is>
      </c>
      <c r="F102" s="2" t="inlineStr">
        <is>
          <t>マゼンタ</t>
        </is>
      </c>
      <c r="G102" s="3" t="inlineStr">
        <is>
          <t>IPSiO SP トナー マゼンタ C310H</t>
        </is>
      </c>
      <c r="H102" s="2" t="inlineStr">
        <is>
          <t>C310H</t>
        </is>
      </c>
      <c r="I102" s="2" t="inlineStr">
        <is>
          <t>308502</t>
        </is>
      </c>
      <c r="J102" s="4" t="n">
        <v>5000</v>
      </c>
      <c r="K102" s="4" t="n">
        <v>16600</v>
      </c>
      <c r="L102" s="2" t="inlineStr">
        <is>
          <t>メーカー標準価格（税別）</t>
        </is>
      </c>
      <c r="M102" s="2" t="inlineStr">
        <is>
          <t>あり</t>
        </is>
      </c>
      <c r="N102" s="2" t="inlineStr">
        <is>
          <t>C310H-M</t>
        </is>
      </c>
      <c r="O102" s="5">
        <f>IF($N102="","—",IF(COUNTIF(台帳マスタ!$A:$A,$N102)&gt;0,"登録あり","未登録"))</f>
        <v/>
      </c>
      <c r="P102" s="3" t="inlineStr">
        <is>
          <t>大容量</t>
        </is>
      </c>
      <c r="Q102" s="2" t="inlineStr">
        <is>
          <t>S06</t>
        </is>
      </c>
    </row>
    <row r="103">
      <c r="A103" s="2" t="n">
        <v>102</v>
      </c>
      <c r="B103" s="2" t="inlineStr">
        <is>
          <t>Ricoh</t>
        </is>
      </c>
      <c r="C103" s="2" t="inlineStr">
        <is>
          <t>Ricoh SP C320</t>
        </is>
      </c>
      <c r="D103" s="2" t="n">
        <v>1</v>
      </c>
      <c r="E103" s="2" t="inlineStr">
        <is>
          <t>トナー</t>
        </is>
      </c>
      <c r="F103" s="2" t="inlineStr">
        <is>
          <t>イエロー</t>
        </is>
      </c>
      <c r="G103" s="3" t="inlineStr">
        <is>
          <t>IPSiO SP トナー イエロー C310H</t>
        </is>
      </c>
      <c r="H103" s="2" t="inlineStr">
        <is>
          <t>C310H</t>
        </is>
      </c>
      <c r="I103" s="2" t="inlineStr">
        <is>
          <t>308503</t>
        </is>
      </c>
      <c r="J103" s="4" t="n">
        <v>5000</v>
      </c>
      <c r="K103" s="4" t="n">
        <v>16600</v>
      </c>
      <c r="L103" s="2" t="inlineStr">
        <is>
          <t>メーカー標準価格（税別）</t>
        </is>
      </c>
      <c r="M103" s="2" t="inlineStr">
        <is>
          <t>あり</t>
        </is>
      </c>
      <c r="N103" s="2" t="inlineStr">
        <is>
          <t>C310H-Y</t>
        </is>
      </c>
      <c r="O103" s="5">
        <f>IF($N103="","—",IF(COUNTIF(台帳マスタ!$A:$A,$N103)&gt;0,"登録あり","未登録"))</f>
        <v/>
      </c>
      <c r="P103" s="3" t="inlineStr">
        <is>
          <t>大容量</t>
        </is>
      </c>
      <c r="Q103" s="2" t="inlineStr">
        <is>
          <t>S06</t>
        </is>
      </c>
    </row>
    <row r="104">
      <c r="A104" s="2" t="n">
        <v>103</v>
      </c>
      <c r="B104" s="2" t="inlineStr">
        <is>
          <t>Ricoh</t>
        </is>
      </c>
      <c r="C104" s="2" t="inlineStr">
        <is>
          <t>Ricoh SP C320</t>
        </is>
      </c>
      <c r="D104" s="2" t="n">
        <v>1</v>
      </c>
      <c r="E104" s="2" t="inlineStr">
        <is>
          <t>廃トナー</t>
        </is>
      </c>
      <c r="F104" s="2" t="inlineStr">
        <is>
          <t>—</t>
        </is>
      </c>
      <c r="G104" s="3" t="inlineStr">
        <is>
          <t>廃トナーボトル C310</t>
        </is>
      </c>
      <c r="H104" s="2" t="inlineStr">
        <is>
          <t>C310</t>
        </is>
      </c>
      <c r="I104" s="2" t="inlineStr">
        <is>
          <t>515284</t>
        </is>
      </c>
      <c r="J104" s="4" t="n">
        <v>55000</v>
      </c>
      <c r="K104" s="4" t="n">
        <v>3400</v>
      </c>
      <c r="L104" s="2" t="inlineStr">
        <is>
          <t>メーカー標準価格（税別）</t>
        </is>
      </c>
      <c r="M104" s="2" t="inlineStr">
        <is>
          <t>あり</t>
        </is>
      </c>
      <c r="N104" s="2" t="inlineStr">
        <is>
          <t>廃トナーボトルC310</t>
        </is>
      </c>
      <c r="O104" s="5">
        <f>IF($N104="","—",IF(COUNTIF(台帳マスタ!$A:$A,$N104)&gt;0,"登録あり","未登録"))</f>
        <v/>
      </c>
      <c r="P104" s="3" t="inlineStr"/>
      <c r="Q104" s="2" t="inlineStr">
        <is>
          <t>S06</t>
        </is>
      </c>
    </row>
    <row r="105">
      <c r="A105" s="2" t="n">
        <v>104</v>
      </c>
      <c r="B105" s="2" t="inlineStr">
        <is>
          <t>Ricoh</t>
        </is>
      </c>
      <c r="C105" s="2" t="inlineStr">
        <is>
          <t>Ricoh SP C320</t>
        </is>
      </c>
      <c r="D105" s="2" t="n">
        <v>1</v>
      </c>
      <c r="E105" s="2" t="inlineStr">
        <is>
          <t>ドラム</t>
        </is>
      </c>
      <c r="F105" s="2" t="inlineStr">
        <is>
          <t>—</t>
        </is>
      </c>
      <c r="G105" s="3" t="inlineStr">
        <is>
          <t>（公式消耗品ページに感光体の記載なし）</t>
        </is>
      </c>
      <c r="H105" s="2" t="inlineStr">
        <is>
          <t>—</t>
        </is>
      </c>
      <c r="I105" s="2" t="inlineStr"/>
      <c r="J105" s="4" t="n"/>
      <c r="K105" s="4" t="n"/>
      <c r="L105" s="2" t="inlineStr">
        <is>
          <t>—</t>
        </is>
      </c>
      <c r="M105" s="2" t="inlineStr">
        <is>
          <t>あり</t>
        </is>
      </c>
      <c r="N105" s="2" t="inlineStr"/>
      <c r="O105" s="5">
        <f>IF($N105="","—",IF(COUNTIF(台帳マスタ!$A:$A,$N105)&gt;0,"登録あり","未登録"))</f>
        <v/>
      </c>
      <c r="P105" s="3" t="inlineStr">
        <is>
          <t>サービス部品扱いとみられる</t>
        </is>
      </c>
      <c r="Q105" s="2" t="inlineStr">
        <is>
          <t>S06</t>
        </is>
      </c>
    </row>
    <row r="106">
      <c r="A106" s="2" t="n">
        <v>105</v>
      </c>
      <c r="B106" s="2" t="inlineStr">
        <is>
          <t>Ricoh</t>
        </is>
      </c>
      <c r="C106" s="2" t="inlineStr">
        <is>
          <t>Ricoh SP C341</t>
        </is>
      </c>
      <c r="D106" s="2" t="n">
        <v>7</v>
      </c>
      <c r="E106" s="2" t="inlineStr">
        <is>
          <t>トナー</t>
        </is>
      </c>
      <c r="F106" s="2" t="inlineStr">
        <is>
          <t>ブラック</t>
        </is>
      </c>
      <c r="G106" s="3" t="inlineStr">
        <is>
          <t>IPSiO SP トナー ブラック C310</t>
        </is>
      </c>
      <c r="H106" s="2" t="inlineStr">
        <is>
          <t>C310</t>
        </is>
      </c>
      <c r="I106" s="2" t="inlineStr">
        <is>
          <t>308504</t>
        </is>
      </c>
      <c r="J106" s="4" t="n">
        <v>2200</v>
      </c>
      <c r="K106" s="4" t="n">
        <v>8300</v>
      </c>
      <c r="L106" s="2" t="inlineStr">
        <is>
          <t>メーカー標準価格（税別）</t>
        </is>
      </c>
      <c r="M106" s="2" t="inlineStr">
        <is>
          <t>あり</t>
        </is>
      </c>
      <c r="N106" s="2" t="inlineStr">
        <is>
          <t>C310</t>
        </is>
      </c>
      <c r="O106" s="5">
        <f>IF($N106="","—",IF(COUNTIF(台帳マスタ!$A:$A,$N106)&gt;0,"登録あり","未登録"))</f>
        <v/>
      </c>
      <c r="P106" s="3" t="inlineStr">
        <is>
          <t>標準容量</t>
        </is>
      </c>
      <c r="Q106" s="2" t="inlineStr">
        <is>
          <t>S07</t>
        </is>
      </c>
    </row>
    <row r="107">
      <c r="A107" s="2" t="n">
        <v>106</v>
      </c>
      <c r="B107" s="2" t="inlineStr">
        <is>
          <t>Ricoh</t>
        </is>
      </c>
      <c r="C107" s="2" t="inlineStr">
        <is>
          <t>Ricoh SP C341</t>
        </is>
      </c>
      <c r="D107" s="2" t="n">
        <v>7</v>
      </c>
      <c r="E107" s="2" t="inlineStr">
        <is>
          <t>トナー</t>
        </is>
      </c>
      <c r="F107" s="2" t="inlineStr">
        <is>
          <t>シアン</t>
        </is>
      </c>
      <c r="G107" s="3" t="inlineStr">
        <is>
          <t>IPSiO SP トナー シアン C310</t>
        </is>
      </c>
      <c r="H107" s="2" t="inlineStr">
        <is>
          <t>C310</t>
        </is>
      </c>
      <c r="I107" s="2" t="inlineStr">
        <is>
          <t>308505</t>
        </is>
      </c>
      <c r="J107" s="4" t="n">
        <v>2200</v>
      </c>
      <c r="K107" s="4" t="n">
        <v>10000</v>
      </c>
      <c r="L107" s="2" t="inlineStr">
        <is>
          <t>メーカー標準価格（税別）</t>
        </is>
      </c>
      <c r="M107" s="2" t="inlineStr">
        <is>
          <t>あり</t>
        </is>
      </c>
      <c r="N107" s="2" t="inlineStr">
        <is>
          <t>C310</t>
        </is>
      </c>
      <c r="O107" s="5">
        <f>IF($N107="","—",IF(COUNTIF(台帳マスタ!$A:$A,$N107)&gt;0,"登録あり","未登録"))</f>
        <v/>
      </c>
      <c r="P107" s="3" t="inlineStr">
        <is>
          <t>標準容量</t>
        </is>
      </c>
      <c r="Q107" s="2" t="inlineStr">
        <is>
          <t>S07</t>
        </is>
      </c>
    </row>
    <row r="108">
      <c r="A108" s="2" t="n">
        <v>107</v>
      </c>
      <c r="B108" s="2" t="inlineStr">
        <is>
          <t>Ricoh</t>
        </is>
      </c>
      <c r="C108" s="2" t="inlineStr">
        <is>
          <t>Ricoh SP C341</t>
        </is>
      </c>
      <c r="D108" s="2" t="n">
        <v>7</v>
      </c>
      <c r="E108" s="2" t="inlineStr">
        <is>
          <t>トナー</t>
        </is>
      </c>
      <c r="F108" s="2" t="inlineStr">
        <is>
          <t>マゼンタ</t>
        </is>
      </c>
      <c r="G108" s="3" t="inlineStr">
        <is>
          <t>IPSiO SP トナー マゼンタ C310</t>
        </is>
      </c>
      <c r="H108" s="2" t="inlineStr">
        <is>
          <t>C310</t>
        </is>
      </c>
      <c r="I108" s="2" t="inlineStr">
        <is>
          <t>308506</t>
        </is>
      </c>
      <c r="J108" s="4" t="n">
        <v>2200</v>
      </c>
      <c r="K108" s="4" t="n">
        <v>10000</v>
      </c>
      <c r="L108" s="2" t="inlineStr">
        <is>
          <t>メーカー標準価格（税別）</t>
        </is>
      </c>
      <c r="M108" s="2" t="inlineStr">
        <is>
          <t>あり</t>
        </is>
      </c>
      <c r="N108" s="2" t="inlineStr">
        <is>
          <t>C310</t>
        </is>
      </c>
      <c r="O108" s="5">
        <f>IF($N108="","—",IF(COUNTIF(台帳マスタ!$A:$A,$N108)&gt;0,"登録あり","未登録"))</f>
        <v/>
      </c>
      <c r="P108" s="3" t="inlineStr">
        <is>
          <t>標準容量</t>
        </is>
      </c>
      <c r="Q108" s="2" t="inlineStr">
        <is>
          <t>S07</t>
        </is>
      </c>
    </row>
    <row r="109">
      <c r="A109" s="2" t="n">
        <v>108</v>
      </c>
      <c r="B109" s="2" t="inlineStr">
        <is>
          <t>Ricoh</t>
        </is>
      </c>
      <c r="C109" s="2" t="inlineStr">
        <is>
          <t>Ricoh SP C341</t>
        </is>
      </c>
      <c r="D109" s="2" t="n">
        <v>7</v>
      </c>
      <c r="E109" s="2" t="inlineStr">
        <is>
          <t>トナー</t>
        </is>
      </c>
      <c r="F109" s="2" t="inlineStr">
        <is>
          <t>イエロー</t>
        </is>
      </c>
      <c r="G109" s="3" t="inlineStr">
        <is>
          <t>IPSiO SP トナー イエロー C310</t>
        </is>
      </c>
      <c r="H109" s="2" t="inlineStr">
        <is>
          <t>C310</t>
        </is>
      </c>
      <c r="I109" s="2" t="inlineStr">
        <is>
          <t>308507</t>
        </is>
      </c>
      <c r="J109" s="4" t="n">
        <v>2200</v>
      </c>
      <c r="K109" s="4" t="n">
        <v>10000</v>
      </c>
      <c r="L109" s="2" t="inlineStr">
        <is>
          <t>メーカー標準価格（税別）</t>
        </is>
      </c>
      <c r="M109" s="2" t="inlineStr">
        <is>
          <t>あり</t>
        </is>
      </c>
      <c r="N109" s="2" t="inlineStr">
        <is>
          <t>C310</t>
        </is>
      </c>
      <c r="O109" s="5">
        <f>IF($N109="","—",IF(COUNTIF(台帳マスタ!$A:$A,$N109)&gt;0,"登録あり","未登録"))</f>
        <v/>
      </c>
      <c r="P109" s="3" t="inlineStr">
        <is>
          <t>標準容量</t>
        </is>
      </c>
      <c r="Q109" s="2" t="inlineStr">
        <is>
          <t>S07</t>
        </is>
      </c>
    </row>
    <row r="110">
      <c r="A110" s="2" t="n">
        <v>109</v>
      </c>
      <c r="B110" s="2" t="inlineStr">
        <is>
          <t>Ricoh</t>
        </is>
      </c>
      <c r="C110" s="2" t="inlineStr">
        <is>
          <t>Ricoh SP C341</t>
        </is>
      </c>
      <c r="D110" s="2" t="n">
        <v>7</v>
      </c>
      <c r="E110" s="2" t="inlineStr">
        <is>
          <t>トナー</t>
        </is>
      </c>
      <c r="F110" s="2" t="inlineStr">
        <is>
          <t>ブラック</t>
        </is>
      </c>
      <c r="G110" s="3" t="inlineStr">
        <is>
          <t>IPSiO SP トナー ブラック C310H</t>
        </is>
      </c>
      <c r="H110" s="2" t="inlineStr">
        <is>
          <t>C310H</t>
        </is>
      </c>
      <c r="I110" s="2" t="inlineStr">
        <is>
          <t>308500</t>
        </is>
      </c>
      <c r="J110" s="4" t="n">
        <v>5000</v>
      </c>
      <c r="K110" s="4" t="n">
        <v>16100</v>
      </c>
      <c r="L110" s="2" t="inlineStr">
        <is>
          <t>メーカー標準価格（税別）</t>
        </is>
      </c>
      <c r="M110" s="2" t="inlineStr">
        <is>
          <t>あり</t>
        </is>
      </c>
      <c r="N110" s="2" t="inlineStr">
        <is>
          <t>C310H-BK</t>
        </is>
      </c>
      <c r="O110" s="5">
        <f>IF($N110="","—",IF(COUNTIF(台帳マスタ!$A:$A,$N110)&gt;0,"登録あり","未登録"))</f>
        <v/>
      </c>
      <c r="P110" s="3" t="inlineStr">
        <is>
          <t>大容量</t>
        </is>
      </c>
      <c r="Q110" s="2" t="inlineStr">
        <is>
          <t>S07</t>
        </is>
      </c>
    </row>
    <row r="111">
      <c r="A111" s="2" t="n">
        <v>110</v>
      </c>
      <c r="B111" s="2" t="inlineStr">
        <is>
          <t>Ricoh</t>
        </is>
      </c>
      <c r="C111" s="2" t="inlineStr">
        <is>
          <t>Ricoh SP C341</t>
        </is>
      </c>
      <c r="D111" s="2" t="n">
        <v>7</v>
      </c>
      <c r="E111" s="2" t="inlineStr">
        <is>
          <t>トナー</t>
        </is>
      </c>
      <c r="F111" s="2" t="inlineStr">
        <is>
          <t>シアン</t>
        </is>
      </c>
      <c r="G111" s="3" t="inlineStr">
        <is>
          <t>IPSiO SP トナー シアン C310H</t>
        </is>
      </c>
      <c r="H111" s="2" t="inlineStr">
        <is>
          <t>C310H</t>
        </is>
      </c>
      <c r="I111" s="2" t="inlineStr">
        <is>
          <t>308501</t>
        </is>
      </c>
      <c r="J111" s="4" t="n">
        <v>5000</v>
      </c>
      <c r="K111" s="4" t="n">
        <v>16600</v>
      </c>
      <c r="L111" s="2" t="inlineStr">
        <is>
          <t>メーカー標準価格（税別）</t>
        </is>
      </c>
      <c r="M111" s="2" t="inlineStr">
        <is>
          <t>あり</t>
        </is>
      </c>
      <c r="N111" s="2" t="inlineStr">
        <is>
          <t>C310H-C</t>
        </is>
      </c>
      <c r="O111" s="5">
        <f>IF($N111="","—",IF(COUNTIF(台帳マスタ!$A:$A,$N111)&gt;0,"登録あり","未登録"))</f>
        <v/>
      </c>
      <c r="P111" s="3" t="inlineStr">
        <is>
          <t>大容量</t>
        </is>
      </c>
      <c r="Q111" s="2" t="inlineStr">
        <is>
          <t>S07</t>
        </is>
      </c>
    </row>
    <row r="112">
      <c r="A112" s="2" t="n">
        <v>111</v>
      </c>
      <c r="B112" s="2" t="inlineStr">
        <is>
          <t>Ricoh</t>
        </is>
      </c>
      <c r="C112" s="2" t="inlineStr">
        <is>
          <t>Ricoh SP C341</t>
        </is>
      </c>
      <c r="D112" s="2" t="n">
        <v>7</v>
      </c>
      <c r="E112" s="2" t="inlineStr">
        <is>
          <t>トナー</t>
        </is>
      </c>
      <c r="F112" s="2" t="inlineStr">
        <is>
          <t>マゼンタ</t>
        </is>
      </c>
      <c r="G112" s="3" t="inlineStr">
        <is>
          <t>IPSiO SP トナー マゼンタ C310H</t>
        </is>
      </c>
      <c r="H112" s="2" t="inlineStr">
        <is>
          <t>C310H</t>
        </is>
      </c>
      <c r="I112" s="2" t="inlineStr">
        <is>
          <t>308502</t>
        </is>
      </c>
      <c r="J112" s="4" t="n">
        <v>5000</v>
      </c>
      <c r="K112" s="4" t="n">
        <v>16600</v>
      </c>
      <c r="L112" s="2" t="inlineStr">
        <is>
          <t>メーカー標準価格（税別）</t>
        </is>
      </c>
      <c r="M112" s="2" t="inlineStr">
        <is>
          <t>あり</t>
        </is>
      </c>
      <c r="N112" s="2" t="inlineStr">
        <is>
          <t>C310H-M</t>
        </is>
      </c>
      <c r="O112" s="5">
        <f>IF($N112="","—",IF(COUNTIF(台帳マスタ!$A:$A,$N112)&gt;0,"登録あり","未登録"))</f>
        <v/>
      </c>
      <c r="P112" s="3" t="inlineStr">
        <is>
          <t>大容量</t>
        </is>
      </c>
      <c r="Q112" s="2" t="inlineStr">
        <is>
          <t>S07</t>
        </is>
      </c>
    </row>
    <row r="113">
      <c r="A113" s="2" t="n">
        <v>112</v>
      </c>
      <c r="B113" s="2" t="inlineStr">
        <is>
          <t>Ricoh</t>
        </is>
      </c>
      <c r="C113" s="2" t="inlineStr">
        <is>
          <t>Ricoh SP C341</t>
        </is>
      </c>
      <c r="D113" s="2" t="n">
        <v>7</v>
      </c>
      <c r="E113" s="2" t="inlineStr">
        <is>
          <t>トナー</t>
        </is>
      </c>
      <c r="F113" s="2" t="inlineStr">
        <is>
          <t>イエロー</t>
        </is>
      </c>
      <c r="G113" s="3" t="inlineStr">
        <is>
          <t>IPSiO SP トナー イエロー C310H</t>
        </is>
      </c>
      <c r="H113" s="2" t="inlineStr">
        <is>
          <t>C310H</t>
        </is>
      </c>
      <c r="I113" s="2" t="inlineStr">
        <is>
          <t>308503</t>
        </is>
      </c>
      <c r="J113" s="4" t="n">
        <v>5000</v>
      </c>
      <c r="K113" s="4" t="n">
        <v>16600</v>
      </c>
      <c r="L113" s="2" t="inlineStr">
        <is>
          <t>メーカー標準価格（税別）</t>
        </is>
      </c>
      <c r="M113" s="2" t="inlineStr">
        <is>
          <t>あり</t>
        </is>
      </c>
      <c r="N113" s="2" t="inlineStr">
        <is>
          <t>C310H-Y</t>
        </is>
      </c>
      <c r="O113" s="5">
        <f>IF($N113="","—",IF(COUNTIF(台帳マスタ!$A:$A,$N113)&gt;0,"登録あり","未登録"))</f>
        <v/>
      </c>
      <c r="P113" s="3" t="inlineStr">
        <is>
          <t>大容量</t>
        </is>
      </c>
      <c r="Q113" s="2" t="inlineStr">
        <is>
          <t>S07</t>
        </is>
      </c>
    </row>
    <row r="114">
      <c r="A114" s="2" t="n">
        <v>113</v>
      </c>
      <c r="B114" s="2" t="inlineStr">
        <is>
          <t>Ricoh</t>
        </is>
      </c>
      <c r="C114" s="2" t="inlineStr">
        <is>
          <t>Ricoh SP C341</t>
        </is>
      </c>
      <c r="D114" s="2" t="n">
        <v>7</v>
      </c>
      <c r="E114" s="2" t="inlineStr">
        <is>
          <t>廃トナー</t>
        </is>
      </c>
      <c r="F114" s="2" t="inlineStr">
        <is>
          <t>—</t>
        </is>
      </c>
      <c r="G114" s="3" t="inlineStr">
        <is>
          <t>廃トナーボトル C310</t>
        </is>
      </c>
      <c r="H114" s="2" t="inlineStr">
        <is>
          <t>C310</t>
        </is>
      </c>
      <c r="I114" s="2" t="inlineStr">
        <is>
          <t>515284</t>
        </is>
      </c>
      <c r="J114" s="4" t="n">
        <v>55000</v>
      </c>
      <c r="K114" s="4" t="n">
        <v>3400</v>
      </c>
      <c r="L114" s="2" t="inlineStr">
        <is>
          <t>メーカー標準価格（税別）</t>
        </is>
      </c>
      <c r="M114" s="2" t="inlineStr">
        <is>
          <t>あり</t>
        </is>
      </c>
      <c r="N114" s="2" t="inlineStr">
        <is>
          <t>廃トナーボトルC310</t>
        </is>
      </c>
      <c r="O114" s="5">
        <f>IF($N114="","—",IF(COUNTIF(台帳マスタ!$A:$A,$N114)&gt;0,"登録あり","未登録"))</f>
        <v/>
      </c>
      <c r="P114" s="3" t="inlineStr"/>
      <c r="Q114" s="2" t="inlineStr">
        <is>
          <t>S07</t>
        </is>
      </c>
    </row>
    <row r="115">
      <c r="A115" s="2" t="n">
        <v>114</v>
      </c>
      <c r="B115" s="2" t="inlineStr">
        <is>
          <t>Ricoh</t>
        </is>
      </c>
      <c r="C115" s="2" t="inlineStr">
        <is>
          <t>Ricoh SP C341</t>
        </is>
      </c>
      <c r="D115" s="2" t="n">
        <v>7</v>
      </c>
      <c r="E115" s="2" t="inlineStr">
        <is>
          <t>ドラム</t>
        </is>
      </c>
      <c r="F115" s="2" t="inlineStr">
        <is>
          <t>—</t>
        </is>
      </c>
      <c r="G115" s="3" t="inlineStr">
        <is>
          <t>（公式消耗品ページに感光体の記載なし）</t>
        </is>
      </c>
      <c r="H115" s="2" t="inlineStr">
        <is>
          <t>—</t>
        </is>
      </c>
      <c r="I115" s="2" t="inlineStr"/>
      <c r="J115" s="4" t="n"/>
      <c r="K115" s="4" t="n"/>
      <c r="L115" s="2" t="inlineStr">
        <is>
          <t>—</t>
        </is>
      </c>
      <c r="M115" s="2" t="inlineStr">
        <is>
          <t>あり</t>
        </is>
      </c>
      <c r="N115" s="2" t="inlineStr"/>
      <c r="O115" s="5">
        <f>IF($N115="","—",IF(COUNTIF(台帳マスタ!$A:$A,$N115)&gt;0,"登録あり","未登録"))</f>
        <v/>
      </c>
      <c r="P115" s="3" t="inlineStr">
        <is>
          <t>サービス部品扱いとみられる</t>
        </is>
      </c>
      <c r="Q115" s="2" t="inlineStr">
        <is>
          <t>S07</t>
        </is>
      </c>
    </row>
    <row r="116">
      <c r="A116" s="2" t="n">
        <v>115</v>
      </c>
      <c r="B116" s="2" t="inlineStr">
        <is>
          <t>Ricoh</t>
        </is>
      </c>
      <c r="C116" s="2" t="inlineStr">
        <is>
          <t>Ricoh SP C342</t>
        </is>
      </c>
      <c r="D116" s="2" t="n">
        <v>1</v>
      </c>
      <c r="E116" s="2" t="inlineStr">
        <is>
          <t>トナー</t>
        </is>
      </c>
      <c r="F116" s="2" t="inlineStr">
        <is>
          <t>ブラック</t>
        </is>
      </c>
      <c r="G116" s="3" t="inlineStr">
        <is>
          <t>IPSiO SP トナー ブラック C310</t>
        </is>
      </c>
      <c r="H116" s="2" t="inlineStr">
        <is>
          <t>C310</t>
        </is>
      </c>
      <c r="I116" s="2" t="inlineStr">
        <is>
          <t>308504</t>
        </is>
      </c>
      <c r="J116" s="4" t="n">
        <v>2200</v>
      </c>
      <c r="K116" s="4" t="n">
        <v>8300</v>
      </c>
      <c r="L116" s="2" t="inlineStr">
        <is>
          <t>メーカー標準価格（税別）</t>
        </is>
      </c>
      <c r="M116" s="2" t="inlineStr">
        <is>
          <t>あり</t>
        </is>
      </c>
      <c r="N116" s="2" t="inlineStr">
        <is>
          <t>C310</t>
        </is>
      </c>
      <c r="O116" s="5">
        <f>IF($N116="","—",IF(COUNTIF(台帳マスタ!$A:$A,$N116)&gt;0,"登録あり","未登録"))</f>
        <v/>
      </c>
      <c r="P116" s="3" t="inlineStr">
        <is>
          <t>標準容量</t>
        </is>
      </c>
      <c r="Q116" s="2" t="inlineStr">
        <is>
          <t>S07</t>
        </is>
      </c>
    </row>
    <row r="117">
      <c r="A117" s="2" t="n">
        <v>116</v>
      </c>
      <c r="B117" s="2" t="inlineStr">
        <is>
          <t>Ricoh</t>
        </is>
      </c>
      <c r="C117" s="2" t="inlineStr">
        <is>
          <t>Ricoh SP C342</t>
        </is>
      </c>
      <c r="D117" s="2" t="n">
        <v>1</v>
      </c>
      <c r="E117" s="2" t="inlineStr">
        <is>
          <t>トナー</t>
        </is>
      </c>
      <c r="F117" s="2" t="inlineStr">
        <is>
          <t>シアン</t>
        </is>
      </c>
      <c r="G117" s="3" t="inlineStr">
        <is>
          <t>IPSiO SP トナー シアン C310</t>
        </is>
      </c>
      <c r="H117" s="2" t="inlineStr">
        <is>
          <t>C310</t>
        </is>
      </c>
      <c r="I117" s="2" t="inlineStr">
        <is>
          <t>308505</t>
        </is>
      </c>
      <c r="J117" s="4" t="n">
        <v>2200</v>
      </c>
      <c r="K117" s="4" t="n">
        <v>10000</v>
      </c>
      <c r="L117" s="2" t="inlineStr">
        <is>
          <t>メーカー標準価格（税別）</t>
        </is>
      </c>
      <c r="M117" s="2" t="inlineStr">
        <is>
          <t>あり</t>
        </is>
      </c>
      <c r="N117" s="2" t="inlineStr">
        <is>
          <t>C310</t>
        </is>
      </c>
      <c r="O117" s="5">
        <f>IF($N117="","—",IF(COUNTIF(台帳マスタ!$A:$A,$N117)&gt;0,"登録あり","未登録"))</f>
        <v/>
      </c>
      <c r="P117" s="3" t="inlineStr">
        <is>
          <t>標準容量</t>
        </is>
      </c>
      <c r="Q117" s="2" t="inlineStr">
        <is>
          <t>S07</t>
        </is>
      </c>
    </row>
    <row r="118">
      <c r="A118" s="2" t="n">
        <v>117</v>
      </c>
      <c r="B118" s="2" t="inlineStr">
        <is>
          <t>Ricoh</t>
        </is>
      </c>
      <c r="C118" s="2" t="inlineStr">
        <is>
          <t>Ricoh SP C342</t>
        </is>
      </c>
      <c r="D118" s="2" t="n">
        <v>1</v>
      </c>
      <c r="E118" s="2" t="inlineStr">
        <is>
          <t>トナー</t>
        </is>
      </c>
      <c r="F118" s="2" t="inlineStr">
        <is>
          <t>マゼンタ</t>
        </is>
      </c>
      <c r="G118" s="3" t="inlineStr">
        <is>
          <t>IPSiO SP トナー マゼンタ C310</t>
        </is>
      </c>
      <c r="H118" s="2" t="inlineStr">
        <is>
          <t>C310</t>
        </is>
      </c>
      <c r="I118" s="2" t="inlineStr">
        <is>
          <t>308506</t>
        </is>
      </c>
      <c r="J118" s="4" t="n">
        <v>2200</v>
      </c>
      <c r="K118" s="4" t="n">
        <v>10000</v>
      </c>
      <c r="L118" s="2" t="inlineStr">
        <is>
          <t>メーカー標準価格（税別）</t>
        </is>
      </c>
      <c r="M118" s="2" t="inlineStr">
        <is>
          <t>あり</t>
        </is>
      </c>
      <c r="N118" s="2" t="inlineStr">
        <is>
          <t>C310</t>
        </is>
      </c>
      <c r="O118" s="5">
        <f>IF($N118="","—",IF(COUNTIF(台帳マスタ!$A:$A,$N118)&gt;0,"登録あり","未登録"))</f>
        <v/>
      </c>
      <c r="P118" s="3" t="inlineStr">
        <is>
          <t>標準容量</t>
        </is>
      </c>
      <c r="Q118" s="2" t="inlineStr">
        <is>
          <t>S07</t>
        </is>
      </c>
    </row>
    <row r="119">
      <c r="A119" s="2" t="n">
        <v>118</v>
      </c>
      <c r="B119" s="2" t="inlineStr">
        <is>
          <t>Ricoh</t>
        </is>
      </c>
      <c r="C119" s="2" t="inlineStr">
        <is>
          <t>Ricoh SP C342</t>
        </is>
      </c>
      <c r="D119" s="2" t="n">
        <v>1</v>
      </c>
      <c r="E119" s="2" t="inlineStr">
        <is>
          <t>トナー</t>
        </is>
      </c>
      <c r="F119" s="2" t="inlineStr">
        <is>
          <t>イエロー</t>
        </is>
      </c>
      <c r="G119" s="3" t="inlineStr">
        <is>
          <t>IPSiO SP トナー イエロー C310</t>
        </is>
      </c>
      <c r="H119" s="2" t="inlineStr">
        <is>
          <t>C310</t>
        </is>
      </c>
      <c r="I119" s="2" t="inlineStr">
        <is>
          <t>308507</t>
        </is>
      </c>
      <c r="J119" s="4" t="n">
        <v>2200</v>
      </c>
      <c r="K119" s="4" t="n">
        <v>10000</v>
      </c>
      <c r="L119" s="2" t="inlineStr">
        <is>
          <t>メーカー標準価格（税別）</t>
        </is>
      </c>
      <c r="M119" s="2" t="inlineStr">
        <is>
          <t>あり</t>
        </is>
      </c>
      <c r="N119" s="2" t="inlineStr">
        <is>
          <t>C310</t>
        </is>
      </c>
      <c r="O119" s="5">
        <f>IF($N119="","—",IF(COUNTIF(台帳マスタ!$A:$A,$N119)&gt;0,"登録あり","未登録"))</f>
        <v/>
      </c>
      <c r="P119" s="3" t="inlineStr">
        <is>
          <t>標準容量</t>
        </is>
      </c>
      <c r="Q119" s="2" t="inlineStr">
        <is>
          <t>S07</t>
        </is>
      </c>
    </row>
    <row r="120">
      <c r="A120" s="2" t="n">
        <v>119</v>
      </c>
      <c r="B120" s="2" t="inlineStr">
        <is>
          <t>Ricoh</t>
        </is>
      </c>
      <c r="C120" s="2" t="inlineStr">
        <is>
          <t>Ricoh SP C342</t>
        </is>
      </c>
      <c r="D120" s="2" t="n">
        <v>1</v>
      </c>
      <c r="E120" s="2" t="inlineStr">
        <is>
          <t>トナー</t>
        </is>
      </c>
      <c r="F120" s="2" t="inlineStr">
        <is>
          <t>ブラック</t>
        </is>
      </c>
      <c r="G120" s="3" t="inlineStr">
        <is>
          <t>IPSiO SP トナー ブラック C310H</t>
        </is>
      </c>
      <c r="H120" s="2" t="inlineStr">
        <is>
          <t>C310H</t>
        </is>
      </c>
      <c r="I120" s="2" t="inlineStr">
        <is>
          <t>308500</t>
        </is>
      </c>
      <c r="J120" s="4" t="n">
        <v>5000</v>
      </c>
      <c r="K120" s="4" t="n">
        <v>16100</v>
      </c>
      <c r="L120" s="2" t="inlineStr">
        <is>
          <t>メーカー標準価格（税別）</t>
        </is>
      </c>
      <c r="M120" s="2" t="inlineStr">
        <is>
          <t>あり</t>
        </is>
      </c>
      <c r="N120" s="2" t="inlineStr">
        <is>
          <t>C310H-BK</t>
        </is>
      </c>
      <c r="O120" s="5">
        <f>IF($N120="","—",IF(COUNTIF(台帳マスタ!$A:$A,$N120)&gt;0,"登録あり","未登録"))</f>
        <v/>
      </c>
      <c r="P120" s="3" t="inlineStr">
        <is>
          <t>大容量</t>
        </is>
      </c>
      <c r="Q120" s="2" t="inlineStr">
        <is>
          <t>S07</t>
        </is>
      </c>
    </row>
    <row r="121">
      <c r="A121" s="2" t="n">
        <v>120</v>
      </c>
      <c r="B121" s="2" t="inlineStr">
        <is>
          <t>Ricoh</t>
        </is>
      </c>
      <c r="C121" s="2" t="inlineStr">
        <is>
          <t>Ricoh SP C342</t>
        </is>
      </c>
      <c r="D121" s="2" t="n">
        <v>1</v>
      </c>
      <c r="E121" s="2" t="inlineStr">
        <is>
          <t>トナー</t>
        </is>
      </c>
      <c r="F121" s="2" t="inlineStr">
        <is>
          <t>シアン</t>
        </is>
      </c>
      <c r="G121" s="3" t="inlineStr">
        <is>
          <t>IPSiO SP トナー シアン C310H</t>
        </is>
      </c>
      <c r="H121" s="2" t="inlineStr">
        <is>
          <t>C310H</t>
        </is>
      </c>
      <c r="I121" s="2" t="inlineStr">
        <is>
          <t>308501</t>
        </is>
      </c>
      <c r="J121" s="4" t="n">
        <v>5000</v>
      </c>
      <c r="K121" s="4" t="n">
        <v>16600</v>
      </c>
      <c r="L121" s="2" t="inlineStr">
        <is>
          <t>メーカー標準価格（税別）</t>
        </is>
      </c>
      <c r="M121" s="2" t="inlineStr">
        <is>
          <t>あり</t>
        </is>
      </c>
      <c r="N121" s="2" t="inlineStr">
        <is>
          <t>C310H-C</t>
        </is>
      </c>
      <c r="O121" s="5">
        <f>IF($N121="","—",IF(COUNTIF(台帳マスタ!$A:$A,$N121)&gt;0,"登録あり","未登録"))</f>
        <v/>
      </c>
      <c r="P121" s="3" t="inlineStr">
        <is>
          <t>大容量</t>
        </is>
      </c>
      <c r="Q121" s="2" t="inlineStr">
        <is>
          <t>S07</t>
        </is>
      </c>
    </row>
    <row r="122">
      <c r="A122" s="2" t="n">
        <v>121</v>
      </c>
      <c r="B122" s="2" t="inlineStr">
        <is>
          <t>Ricoh</t>
        </is>
      </c>
      <c r="C122" s="2" t="inlineStr">
        <is>
          <t>Ricoh SP C342</t>
        </is>
      </c>
      <c r="D122" s="2" t="n">
        <v>1</v>
      </c>
      <c r="E122" s="2" t="inlineStr">
        <is>
          <t>トナー</t>
        </is>
      </c>
      <c r="F122" s="2" t="inlineStr">
        <is>
          <t>マゼンタ</t>
        </is>
      </c>
      <c r="G122" s="3" t="inlineStr">
        <is>
          <t>IPSiO SP トナー マゼンタ C310H</t>
        </is>
      </c>
      <c r="H122" s="2" t="inlineStr">
        <is>
          <t>C310H</t>
        </is>
      </c>
      <c r="I122" s="2" t="inlineStr">
        <is>
          <t>308502</t>
        </is>
      </c>
      <c r="J122" s="4" t="n">
        <v>5000</v>
      </c>
      <c r="K122" s="4" t="n">
        <v>16600</v>
      </c>
      <c r="L122" s="2" t="inlineStr">
        <is>
          <t>メーカー標準価格（税別）</t>
        </is>
      </c>
      <c r="M122" s="2" t="inlineStr">
        <is>
          <t>あり</t>
        </is>
      </c>
      <c r="N122" s="2" t="inlineStr">
        <is>
          <t>C310H-M</t>
        </is>
      </c>
      <c r="O122" s="5">
        <f>IF($N122="","—",IF(COUNTIF(台帳マスタ!$A:$A,$N122)&gt;0,"登録あり","未登録"))</f>
        <v/>
      </c>
      <c r="P122" s="3" t="inlineStr">
        <is>
          <t>大容量</t>
        </is>
      </c>
      <c r="Q122" s="2" t="inlineStr">
        <is>
          <t>S07</t>
        </is>
      </c>
    </row>
    <row r="123">
      <c r="A123" s="2" t="n">
        <v>122</v>
      </c>
      <c r="B123" s="2" t="inlineStr">
        <is>
          <t>Ricoh</t>
        </is>
      </c>
      <c r="C123" s="2" t="inlineStr">
        <is>
          <t>Ricoh SP C342</t>
        </is>
      </c>
      <c r="D123" s="2" t="n">
        <v>1</v>
      </c>
      <c r="E123" s="2" t="inlineStr">
        <is>
          <t>トナー</t>
        </is>
      </c>
      <c r="F123" s="2" t="inlineStr">
        <is>
          <t>イエロー</t>
        </is>
      </c>
      <c r="G123" s="3" t="inlineStr">
        <is>
          <t>IPSiO SP トナー イエロー C310H</t>
        </is>
      </c>
      <c r="H123" s="2" t="inlineStr">
        <is>
          <t>C310H</t>
        </is>
      </c>
      <c r="I123" s="2" t="inlineStr">
        <is>
          <t>308503</t>
        </is>
      </c>
      <c r="J123" s="4" t="n">
        <v>5000</v>
      </c>
      <c r="K123" s="4" t="n">
        <v>16600</v>
      </c>
      <c r="L123" s="2" t="inlineStr">
        <is>
          <t>メーカー標準価格（税別）</t>
        </is>
      </c>
      <c r="M123" s="2" t="inlineStr">
        <is>
          <t>あり</t>
        </is>
      </c>
      <c r="N123" s="2" t="inlineStr">
        <is>
          <t>C310H-Y</t>
        </is>
      </c>
      <c r="O123" s="5">
        <f>IF($N123="","—",IF(COUNTIF(台帳マスタ!$A:$A,$N123)&gt;0,"登録あり","未登録"))</f>
        <v/>
      </c>
      <c r="P123" s="3" t="inlineStr">
        <is>
          <t>大容量</t>
        </is>
      </c>
      <c r="Q123" s="2" t="inlineStr">
        <is>
          <t>S07</t>
        </is>
      </c>
    </row>
    <row r="124">
      <c r="A124" s="2" t="n">
        <v>123</v>
      </c>
      <c r="B124" s="2" t="inlineStr">
        <is>
          <t>Ricoh</t>
        </is>
      </c>
      <c r="C124" s="2" t="inlineStr">
        <is>
          <t>Ricoh SP C342</t>
        </is>
      </c>
      <c r="D124" s="2" t="n">
        <v>1</v>
      </c>
      <c r="E124" s="2" t="inlineStr">
        <is>
          <t>廃トナー</t>
        </is>
      </c>
      <c r="F124" s="2" t="inlineStr">
        <is>
          <t>—</t>
        </is>
      </c>
      <c r="G124" s="3" t="inlineStr">
        <is>
          <t>廃トナーボトル C310</t>
        </is>
      </c>
      <c r="H124" s="2" t="inlineStr">
        <is>
          <t>C310</t>
        </is>
      </c>
      <c r="I124" s="2" t="inlineStr">
        <is>
          <t>515284</t>
        </is>
      </c>
      <c r="J124" s="4" t="n">
        <v>55000</v>
      </c>
      <c r="K124" s="4" t="n">
        <v>3400</v>
      </c>
      <c r="L124" s="2" t="inlineStr">
        <is>
          <t>メーカー標準価格（税別）</t>
        </is>
      </c>
      <c r="M124" s="2" t="inlineStr">
        <is>
          <t>あり</t>
        </is>
      </c>
      <c r="N124" s="2" t="inlineStr">
        <is>
          <t>廃トナーボトルC310</t>
        </is>
      </c>
      <c r="O124" s="5">
        <f>IF($N124="","—",IF(COUNTIF(台帳マスタ!$A:$A,$N124)&gt;0,"登録あり","未登録"))</f>
        <v/>
      </c>
      <c r="P124" s="3" t="inlineStr"/>
      <c r="Q124" s="2" t="inlineStr">
        <is>
          <t>S07</t>
        </is>
      </c>
    </row>
    <row r="125">
      <c r="A125" s="2" t="n">
        <v>124</v>
      </c>
      <c r="B125" s="2" t="inlineStr">
        <is>
          <t>Ricoh</t>
        </is>
      </c>
      <c r="C125" s="2" t="inlineStr">
        <is>
          <t>Ricoh SP C342</t>
        </is>
      </c>
      <c r="D125" s="2" t="n">
        <v>1</v>
      </c>
      <c r="E125" s="2" t="inlineStr">
        <is>
          <t>ドラム</t>
        </is>
      </c>
      <c r="F125" s="2" t="inlineStr">
        <is>
          <t>—</t>
        </is>
      </c>
      <c r="G125" s="3" t="inlineStr">
        <is>
          <t>（公式消耗品ページに感光体の記載なし）</t>
        </is>
      </c>
      <c r="H125" s="2" t="inlineStr">
        <is>
          <t>—</t>
        </is>
      </c>
      <c r="I125" s="2" t="inlineStr"/>
      <c r="J125" s="4" t="n"/>
      <c r="K125" s="4" t="n"/>
      <c r="L125" s="2" t="inlineStr">
        <is>
          <t>—</t>
        </is>
      </c>
      <c r="M125" s="2" t="inlineStr">
        <is>
          <t>あり</t>
        </is>
      </c>
      <c r="N125" s="2" t="inlineStr"/>
      <c r="O125" s="5">
        <f>IF($N125="","—",IF(COUNTIF(台帳マスタ!$A:$A,$N125)&gt;0,"登録あり","未登録"))</f>
        <v/>
      </c>
      <c r="P125" s="3" t="inlineStr">
        <is>
          <t>サービス部品扱いとみられる</t>
        </is>
      </c>
      <c r="Q125" s="2" t="inlineStr">
        <is>
          <t>S07</t>
        </is>
      </c>
    </row>
    <row r="126">
      <c r="A126" s="2" t="n">
        <v>125</v>
      </c>
      <c r="B126" s="2" t="inlineStr">
        <is>
          <t>Ricoh</t>
        </is>
      </c>
      <c r="C126" s="2" t="inlineStr">
        <is>
          <t>Ricoh SP C750</t>
        </is>
      </c>
      <c r="D126" s="2" t="n">
        <v>1</v>
      </c>
      <c r="E126" s="2" t="inlineStr">
        <is>
          <t>トナー</t>
        </is>
      </c>
      <c r="F126" s="2" t="inlineStr">
        <is>
          <t>ブラック</t>
        </is>
      </c>
      <c r="G126" s="3" t="inlineStr">
        <is>
          <t>RICOH SP トナー ブラック C740</t>
        </is>
      </c>
      <c r="H126" s="2" t="inlineStr">
        <is>
          <t>C740</t>
        </is>
      </c>
      <c r="I126" s="2" t="inlineStr">
        <is>
          <t>600588</t>
        </is>
      </c>
      <c r="J126" s="4" t="n">
        <v>3000</v>
      </c>
      <c r="K126" s="4" t="n">
        <v>9400</v>
      </c>
      <c r="L126" s="2" t="inlineStr">
        <is>
          <t>メーカー標準価格（税別）</t>
        </is>
      </c>
      <c r="M126" s="2" t="inlineStr">
        <is>
          <t>あり</t>
        </is>
      </c>
      <c r="N126" s="2" t="inlineStr">
        <is>
          <t>C740</t>
        </is>
      </c>
      <c r="O126" s="5">
        <f>IF($N126="","—",IF(COUNTIF(台帳マスタ!$A:$A,$N126)&gt;0,"登録あり","未登録"))</f>
        <v/>
      </c>
      <c r="P126" s="3" t="inlineStr">
        <is>
          <t>標準容量</t>
        </is>
      </c>
      <c r="Q126" s="2" t="inlineStr">
        <is>
          <t>S08</t>
        </is>
      </c>
    </row>
    <row r="127">
      <c r="A127" s="2" t="n">
        <v>126</v>
      </c>
      <c r="B127" s="2" t="inlineStr">
        <is>
          <t>Ricoh</t>
        </is>
      </c>
      <c r="C127" s="2" t="inlineStr">
        <is>
          <t>Ricoh SP C750</t>
        </is>
      </c>
      <c r="D127" s="2" t="n">
        <v>1</v>
      </c>
      <c r="E127" s="2" t="inlineStr">
        <is>
          <t>トナー</t>
        </is>
      </c>
      <c r="F127" s="2" t="inlineStr">
        <is>
          <t>シアン</t>
        </is>
      </c>
      <c r="G127" s="3" t="inlineStr">
        <is>
          <t>RICOH SP トナー シアン C740</t>
        </is>
      </c>
      <c r="H127" s="2" t="inlineStr">
        <is>
          <t>C740</t>
        </is>
      </c>
      <c r="I127" s="2" t="inlineStr">
        <is>
          <t>600589</t>
        </is>
      </c>
      <c r="J127" s="4" t="n">
        <v>2500</v>
      </c>
      <c r="K127" s="4" t="n">
        <v>8300</v>
      </c>
      <c r="L127" s="2" t="inlineStr">
        <is>
          <t>メーカー標準価格（税別）</t>
        </is>
      </c>
      <c r="M127" s="2" t="inlineStr">
        <is>
          <t>あり</t>
        </is>
      </c>
      <c r="N127" s="2" t="inlineStr">
        <is>
          <t>C740</t>
        </is>
      </c>
      <c r="O127" s="5">
        <f>IF($N127="","—",IF(COUNTIF(台帳マスタ!$A:$A,$N127)&gt;0,"登録あり","未登録"))</f>
        <v/>
      </c>
      <c r="P127" s="3" t="inlineStr">
        <is>
          <t>標準容量</t>
        </is>
      </c>
      <c r="Q127" s="2" t="inlineStr">
        <is>
          <t>S08</t>
        </is>
      </c>
    </row>
    <row r="128">
      <c r="A128" s="2" t="n">
        <v>127</v>
      </c>
      <c r="B128" s="2" t="inlineStr">
        <is>
          <t>Ricoh</t>
        </is>
      </c>
      <c r="C128" s="2" t="inlineStr">
        <is>
          <t>Ricoh SP C750</t>
        </is>
      </c>
      <c r="D128" s="2" t="n">
        <v>1</v>
      </c>
      <c r="E128" s="2" t="inlineStr">
        <is>
          <t>トナー</t>
        </is>
      </c>
      <c r="F128" s="2" t="inlineStr">
        <is>
          <t>マゼンタ</t>
        </is>
      </c>
      <c r="G128" s="3" t="inlineStr">
        <is>
          <t>RICOH SP トナー マゼンタ C740</t>
        </is>
      </c>
      <c r="H128" s="2" t="inlineStr">
        <is>
          <t>C740</t>
        </is>
      </c>
      <c r="I128" s="2" t="inlineStr">
        <is>
          <t>600590</t>
        </is>
      </c>
      <c r="J128" s="4" t="n">
        <v>2500</v>
      </c>
      <c r="K128" s="4" t="n">
        <v>8300</v>
      </c>
      <c r="L128" s="2" t="inlineStr">
        <is>
          <t>メーカー標準価格（税別）</t>
        </is>
      </c>
      <c r="M128" s="2" t="inlineStr">
        <is>
          <t>あり</t>
        </is>
      </c>
      <c r="N128" s="2" t="inlineStr">
        <is>
          <t>C740</t>
        </is>
      </c>
      <c r="O128" s="5">
        <f>IF($N128="","—",IF(COUNTIF(台帳マスタ!$A:$A,$N128)&gt;0,"登録あり","未登録"))</f>
        <v/>
      </c>
      <c r="P128" s="3" t="inlineStr">
        <is>
          <t>標準容量</t>
        </is>
      </c>
      <c r="Q128" s="2" t="inlineStr">
        <is>
          <t>S08</t>
        </is>
      </c>
    </row>
    <row r="129">
      <c r="A129" s="2" t="n">
        <v>128</v>
      </c>
      <c r="B129" s="2" t="inlineStr">
        <is>
          <t>Ricoh</t>
        </is>
      </c>
      <c r="C129" s="2" t="inlineStr">
        <is>
          <t>Ricoh SP C750</t>
        </is>
      </c>
      <c r="D129" s="2" t="n">
        <v>1</v>
      </c>
      <c r="E129" s="2" t="inlineStr">
        <is>
          <t>トナー</t>
        </is>
      </c>
      <c r="F129" s="2" t="inlineStr">
        <is>
          <t>イエロー</t>
        </is>
      </c>
      <c r="G129" s="3" t="inlineStr">
        <is>
          <t>RICOH SP トナー イエロー C740</t>
        </is>
      </c>
      <c r="H129" s="2" t="inlineStr">
        <is>
          <t>C740</t>
        </is>
      </c>
      <c r="I129" s="2" t="inlineStr">
        <is>
          <t>600591</t>
        </is>
      </c>
      <c r="J129" s="4" t="n">
        <v>2500</v>
      </c>
      <c r="K129" s="4" t="n">
        <v>8300</v>
      </c>
      <c r="L129" s="2" t="inlineStr">
        <is>
          <t>メーカー標準価格（税別）</t>
        </is>
      </c>
      <c r="M129" s="2" t="inlineStr">
        <is>
          <t>あり</t>
        </is>
      </c>
      <c r="N129" s="2" t="inlineStr">
        <is>
          <t>C740</t>
        </is>
      </c>
      <c r="O129" s="5">
        <f>IF($N129="","—",IF(COUNTIF(台帳マスタ!$A:$A,$N129)&gt;0,"登録あり","未登録"))</f>
        <v/>
      </c>
      <c r="P129" s="3" t="inlineStr">
        <is>
          <t>標準容量</t>
        </is>
      </c>
      <c r="Q129" s="2" t="inlineStr">
        <is>
          <t>S08</t>
        </is>
      </c>
    </row>
    <row r="130">
      <c r="A130" s="2" t="n">
        <v>129</v>
      </c>
      <c r="B130" s="2" t="inlineStr">
        <is>
          <t>Ricoh</t>
        </is>
      </c>
      <c r="C130" s="2" t="inlineStr">
        <is>
          <t>Ricoh SP C750</t>
        </is>
      </c>
      <c r="D130" s="2" t="n">
        <v>1</v>
      </c>
      <c r="E130" s="2" t="inlineStr">
        <is>
          <t>トナー</t>
        </is>
      </c>
      <c r="F130" s="2" t="inlineStr">
        <is>
          <t>ブラック</t>
        </is>
      </c>
      <c r="G130" s="3" t="inlineStr">
        <is>
          <t>RICOH SP トナー ブラック C740H</t>
        </is>
      </c>
      <c r="H130" s="2" t="inlineStr">
        <is>
          <t>C740H</t>
        </is>
      </c>
      <c r="I130" s="2" t="inlineStr">
        <is>
          <t>600584</t>
        </is>
      </c>
      <c r="J130" s="4" t="n">
        <v>8000</v>
      </c>
      <c r="K130" s="4" t="n">
        <v>18800</v>
      </c>
      <c r="L130" s="2" t="inlineStr">
        <is>
          <t>メーカー標準価格（税別）</t>
        </is>
      </c>
      <c r="M130" s="2" t="inlineStr">
        <is>
          <t>あり</t>
        </is>
      </c>
      <c r="N130" s="2" t="inlineStr">
        <is>
          <t>C740H-BK</t>
        </is>
      </c>
      <c r="O130" s="5">
        <f>IF($N130="","—",IF(COUNTIF(台帳マスタ!$A:$A,$N130)&gt;0,"登録あり","未登録"))</f>
        <v/>
      </c>
      <c r="P130" s="3" t="inlineStr">
        <is>
          <t>大容量</t>
        </is>
      </c>
      <c r="Q130" s="2" t="inlineStr">
        <is>
          <t>S08</t>
        </is>
      </c>
    </row>
    <row r="131">
      <c r="A131" s="2" t="n">
        <v>130</v>
      </c>
      <c r="B131" s="2" t="inlineStr">
        <is>
          <t>Ricoh</t>
        </is>
      </c>
      <c r="C131" s="2" t="inlineStr">
        <is>
          <t>Ricoh SP C750</t>
        </is>
      </c>
      <c r="D131" s="2" t="n">
        <v>1</v>
      </c>
      <c r="E131" s="2" t="inlineStr">
        <is>
          <t>トナー</t>
        </is>
      </c>
      <c r="F131" s="2" t="inlineStr">
        <is>
          <t>シアン</t>
        </is>
      </c>
      <c r="G131" s="3" t="inlineStr">
        <is>
          <t>RICOH SP トナー シアン C740H</t>
        </is>
      </c>
      <c r="H131" s="2" t="inlineStr">
        <is>
          <t>C740H</t>
        </is>
      </c>
      <c r="I131" s="2" t="inlineStr">
        <is>
          <t>600585</t>
        </is>
      </c>
      <c r="J131" s="4" t="n">
        <v>7000</v>
      </c>
      <c r="K131" s="4" t="n">
        <v>16800</v>
      </c>
      <c r="L131" s="2" t="inlineStr">
        <is>
          <t>メーカー標準価格（税別）</t>
        </is>
      </c>
      <c r="M131" s="2" t="inlineStr">
        <is>
          <t>あり</t>
        </is>
      </c>
      <c r="N131" s="2" t="inlineStr">
        <is>
          <t>C740H-C</t>
        </is>
      </c>
      <c r="O131" s="5">
        <f>IF($N131="","—",IF(COUNTIF(台帳マスタ!$A:$A,$N131)&gt;0,"登録あり","未登録"))</f>
        <v/>
      </c>
      <c r="P131" s="3" t="inlineStr">
        <is>
          <t>大容量</t>
        </is>
      </c>
      <c r="Q131" s="2" t="inlineStr">
        <is>
          <t>S08</t>
        </is>
      </c>
    </row>
    <row r="132">
      <c r="A132" s="2" t="n">
        <v>131</v>
      </c>
      <c r="B132" s="2" t="inlineStr">
        <is>
          <t>Ricoh</t>
        </is>
      </c>
      <c r="C132" s="2" t="inlineStr">
        <is>
          <t>Ricoh SP C750</t>
        </is>
      </c>
      <c r="D132" s="2" t="n">
        <v>1</v>
      </c>
      <c r="E132" s="2" t="inlineStr">
        <is>
          <t>トナー</t>
        </is>
      </c>
      <c r="F132" s="2" t="inlineStr">
        <is>
          <t>マゼンタ</t>
        </is>
      </c>
      <c r="G132" s="3" t="inlineStr">
        <is>
          <t>RICOH SP トナー マゼンタ C740H</t>
        </is>
      </c>
      <c r="H132" s="2" t="inlineStr">
        <is>
          <t>C740H</t>
        </is>
      </c>
      <c r="I132" s="2" t="inlineStr">
        <is>
          <t>600586</t>
        </is>
      </c>
      <c r="J132" s="4" t="n">
        <v>7000</v>
      </c>
      <c r="K132" s="4" t="n">
        <v>16800</v>
      </c>
      <c r="L132" s="2" t="inlineStr">
        <is>
          <t>メーカー標準価格（税別）</t>
        </is>
      </c>
      <c r="M132" s="2" t="inlineStr">
        <is>
          <t>あり</t>
        </is>
      </c>
      <c r="N132" s="2" t="inlineStr">
        <is>
          <t>C740H-M</t>
        </is>
      </c>
      <c r="O132" s="5">
        <f>IF($N132="","—",IF(COUNTIF(台帳マスタ!$A:$A,$N132)&gt;0,"登録あり","未登録"))</f>
        <v/>
      </c>
      <c r="P132" s="3" t="inlineStr">
        <is>
          <t>大容量</t>
        </is>
      </c>
      <c r="Q132" s="2" t="inlineStr">
        <is>
          <t>S08</t>
        </is>
      </c>
    </row>
    <row r="133">
      <c r="A133" s="2" t="n">
        <v>132</v>
      </c>
      <c r="B133" s="2" t="inlineStr">
        <is>
          <t>Ricoh</t>
        </is>
      </c>
      <c r="C133" s="2" t="inlineStr">
        <is>
          <t>Ricoh SP C750</t>
        </is>
      </c>
      <c r="D133" s="2" t="n">
        <v>1</v>
      </c>
      <c r="E133" s="2" t="inlineStr">
        <is>
          <t>トナー</t>
        </is>
      </c>
      <c r="F133" s="2" t="inlineStr">
        <is>
          <t>イエロー</t>
        </is>
      </c>
      <c r="G133" s="3" t="inlineStr">
        <is>
          <t>RICOH SP トナー イエロー C740H</t>
        </is>
      </c>
      <c r="H133" s="2" t="inlineStr">
        <is>
          <t>C740H</t>
        </is>
      </c>
      <c r="I133" s="2" t="inlineStr">
        <is>
          <t>600587</t>
        </is>
      </c>
      <c r="J133" s="4" t="n">
        <v>7000</v>
      </c>
      <c r="K133" s="4" t="n">
        <v>16800</v>
      </c>
      <c r="L133" s="2" t="inlineStr">
        <is>
          <t>メーカー標準価格（税別）</t>
        </is>
      </c>
      <c r="M133" s="2" t="inlineStr">
        <is>
          <t>あり</t>
        </is>
      </c>
      <c r="N133" s="2" t="inlineStr">
        <is>
          <t>C740H-Y</t>
        </is>
      </c>
      <c r="O133" s="5">
        <f>IF($N133="","—",IF(COUNTIF(台帳マスタ!$A:$A,$N133)&gt;0,"登録あり","未登録"))</f>
        <v/>
      </c>
      <c r="P133" s="3" t="inlineStr">
        <is>
          <t>大容量</t>
        </is>
      </c>
      <c r="Q133" s="2" t="inlineStr">
        <is>
          <t>S08</t>
        </is>
      </c>
    </row>
    <row r="134">
      <c r="A134" s="2" t="n">
        <v>133</v>
      </c>
      <c r="B134" s="2" t="inlineStr">
        <is>
          <t>Ricoh</t>
        </is>
      </c>
      <c r="C134" s="2" t="inlineStr">
        <is>
          <t>Ricoh SP C750</t>
        </is>
      </c>
      <c r="D134" s="2" t="n">
        <v>1</v>
      </c>
      <c r="E134" s="2" t="inlineStr">
        <is>
          <t>ドラム</t>
        </is>
      </c>
      <c r="F134" s="2" t="inlineStr">
        <is>
          <t>カラー</t>
        </is>
      </c>
      <c r="G134" s="3" t="inlineStr">
        <is>
          <t>RICOH SP ドラムユニット カラー C740</t>
        </is>
      </c>
      <c r="H134" s="2" t="inlineStr">
        <is>
          <t>ドラムユニット C740（カラー）</t>
        </is>
      </c>
      <c r="I134" s="2" t="inlineStr">
        <is>
          <t>512768</t>
        </is>
      </c>
      <c r="J134" s="4" t="n">
        <v>30000</v>
      </c>
      <c r="K134" s="4" t="n">
        <v>56300</v>
      </c>
      <c r="L134" s="2" t="inlineStr">
        <is>
          <t>メーカー標準価格（税別）</t>
        </is>
      </c>
      <c r="M134" s="2" t="inlineStr">
        <is>
          <t>あり</t>
        </is>
      </c>
      <c r="N134" s="2" t="inlineStr">
        <is>
          <t>ドラムユニットC740-COLOR</t>
        </is>
      </c>
      <c r="O134" s="5">
        <f>IF($N134="","—",IF(COUNTIF(台帳マスタ!$A:$A,$N134)&gt;0,"登録あり","未登録"))</f>
        <v/>
      </c>
      <c r="P134" s="3" t="inlineStr"/>
      <c r="Q134" s="2" t="inlineStr">
        <is>
          <t>S08</t>
        </is>
      </c>
    </row>
    <row r="135">
      <c r="A135" s="2" t="n">
        <v>134</v>
      </c>
      <c r="B135" s="2" t="inlineStr">
        <is>
          <t>Ricoh</t>
        </is>
      </c>
      <c r="C135" s="2" t="inlineStr">
        <is>
          <t>Ricoh SP C750</t>
        </is>
      </c>
      <c r="D135" s="2" t="n">
        <v>1</v>
      </c>
      <c r="E135" s="2" t="inlineStr">
        <is>
          <t>ドラム</t>
        </is>
      </c>
      <c r="F135" s="2" t="inlineStr">
        <is>
          <t>ブラック</t>
        </is>
      </c>
      <c r="G135" s="3" t="inlineStr">
        <is>
          <t>RICOH SP ドラムユニット ブラック C740</t>
        </is>
      </c>
      <c r="H135" s="2" t="inlineStr">
        <is>
          <t>ドラムユニット C740（ブラック）</t>
        </is>
      </c>
      <c r="I135" s="2" t="inlineStr">
        <is>
          <t>512767</t>
        </is>
      </c>
      <c r="J135" s="4" t="n">
        <v>30000</v>
      </c>
      <c r="K135" s="4" t="n">
        <v>18800</v>
      </c>
      <c r="L135" s="2" t="inlineStr">
        <is>
          <t>メーカー標準価格（税別）</t>
        </is>
      </c>
      <c r="M135" s="2" t="inlineStr">
        <is>
          <t>あり</t>
        </is>
      </c>
      <c r="N135" s="2" t="inlineStr">
        <is>
          <t>ドラムユニットC740-BK</t>
        </is>
      </c>
      <c r="O135" s="5">
        <f>IF($N135="","—",IF(COUNTIF(台帳マスタ!$A:$A,$N135)&gt;0,"登録あり","未登録"))</f>
        <v/>
      </c>
      <c r="P135" s="3" t="inlineStr"/>
      <c r="Q135" s="2" t="inlineStr">
        <is>
          <t>S08</t>
        </is>
      </c>
    </row>
  </sheetData>
  <autoFilter ref="A1:Q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6" customWidth="1" min="3" max="3"/>
    <col width="11" customWidth="1" min="4" max="4"/>
    <col width="15" customWidth="1" min="5" max="5"/>
    <col width="10" customWidth="1" min="6" max="6"/>
    <col width="16" customWidth="1" min="7" max="7"/>
    <col width="16" customWidth="1" min="8" max="8"/>
    <col width="14" customWidth="1" min="9" max="9"/>
    <col width="15" customWidth="1" min="10" max="10"/>
    <col width="46" customWidth="1" min="11" max="11"/>
    <col width="60" customWidth="1" min="12" max="12"/>
    <col width="7" customWidth="1" min="13" max="13"/>
  </cols>
  <sheetData>
    <row r="1">
      <c r="A1" s="6" t="inlineStr">
        <is>
          <t>機種別サマリー（台帳 62 台 / 22 機種）</t>
        </is>
      </c>
    </row>
    <row r="2">
      <c r="A2" s="7" t="inlineStr">
        <is>
          <t>調査日 2026-08-21。台数は端末台帳の登録数。「点数」は本表の消耗品一覧を数えたもの。</t>
        </is>
      </c>
    </row>
    <row r="4" ht="32" customHeight="1">
      <c r="A4" s="1" t="inlineStr">
        <is>
          <t>メーカー</t>
        </is>
      </c>
      <c r="B4" s="1" t="inlineStr">
        <is>
          <t>機種（台帳の型番）</t>
        </is>
      </c>
      <c r="C4" s="1" t="inlineStr">
        <is>
          <t>台数</t>
        </is>
      </c>
      <c r="D4" s="1" t="inlineStr">
        <is>
          <t>消耗品点数</t>
        </is>
      </c>
      <c r="E4" s="1" t="inlineStr">
        <is>
          <t>うちトナー/インク</t>
        </is>
      </c>
      <c r="F4" s="1" t="inlineStr">
        <is>
          <t>うちドラム</t>
        </is>
      </c>
      <c r="G4" s="1" t="inlineStr">
        <is>
          <t>うち廃トナー・回収</t>
        </is>
      </c>
      <c r="H4" s="1" t="inlineStr">
        <is>
          <t>うちメンテ・ベルト</t>
        </is>
      </c>
      <c r="I4" s="1" t="inlineStr">
        <is>
          <t>台帳マスタ未登録</t>
        </is>
      </c>
      <c r="J4" s="1" t="inlineStr">
        <is>
          <t>リサイクル/互換</t>
        </is>
      </c>
      <c r="K4" s="1" t="inlineStr">
        <is>
          <t>リサイクルの状況</t>
        </is>
      </c>
      <c r="L4" s="1" t="inlineStr">
        <is>
          <t>注意点</t>
        </is>
      </c>
      <c r="M4" s="1" t="inlineStr">
        <is>
          <t>出典</t>
        </is>
      </c>
    </row>
    <row r="5">
      <c r="A5" s="2" t="inlineStr">
        <is>
          <t>Brother</t>
        </is>
      </c>
      <c r="B5" s="2" t="inlineStr">
        <is>
          <t>Brother HL-L3230CDW</t>
        </is>
      </c>
      <c r="C5" s="8" t="n">
        <v>1</v>
      </c>
      <c r="D5" s="2">
        <f>COUNTIF(消耗品一覧!$C:$C,$B5)</f>
        <v/>
      </c>
      <c r="E5" s="2">
        <f>COUNTIFS(消耗品一覧!$C:$C,$B5,消耗品一覧!$E:$E,"トナー")+COUNTIFS(消耗品一覧!$C:$C,$B5,消耗品一覧!$E:$E,"インク")</f>
        <v/>
      </c>
      <c r="F5" s="2">
        <f>COUNTIFS(消耗品一覧!$C:$C,$B5,消耗品一覧!$E:$E,"ドラム")</f>
        <v/>
      </c>
      <c r="G5" s="2">
        <f>COUNTIFS(消耗品一覧!$C:$C,$B5,消耗品一覧!$E:$E,"廃トナー")</f>
        <v/>
      </c>
      <c r="H5" s="2">
        <f>COUNTIFS(消耗品一覧!$C:$C,$B5,消耗品一覧!$E:$E,"メンテナンス")+COUNTIFS(消耗品一覧!$C:$C,$B5,消耗品一覧!$E:$E,"ベルト")</f>
        <v/>
      </c>
      <c r="I5" s="2">
        <f>COUNTIFS(消耗品一覧!$C:$C,$B5,消耗品一覧!$O:$O,"未登録")</f>
        <v/>
      </c>
      <c r="J5" s="2" t="inlineStr">
        <is>
          <t>あり</t>
        </is>
      </c>
      <c r="K5" s="3" t="inlineStr">
        <is>
          <t>TN-293/TN-297 の各色に互換・リサイクル品が流通。ドラム DR-293CL も再生品あり</t>
        </is>
      </c>
      <c r="L5" s="3" t="inlineStr">
        <is>
          <t>黒の大容量（TN-297BK）は無く、黒は TN-293BK のみ。ベルトユニット BU-223CL と廃トナーボックス WT-223CL も定期交換部品。</t>
        </is>
      </c>
      <c r="M5" s="2" t="inlineStr">
        <is>
          <t>S34</t>
        </is>
      </c>
    </row>
    <row r="6">
      <c r="A6" s="2" t="inlineStr">
        <is>
          <t>Canon</t>
        </is>
      </c>
      <c r="B6" s="2" t="inlineStr">
        <is>
          <t>Canon LBP-6710</t>
        </is>
      </c>
      <c r="C6" s="8" t="n">
        <v>1</v>
      </c>
      <c r="D6" s="2">
        <f>COUNTIF(消耗品一覧!$C:$C,$B6)</f>
        <v/>
      </c>
      <c r="E6" s="2">
        <f>COUNTIFS(消耗品一覧!$C:$C,$B6,消耗品一覧!$E:$E,"トナー")+COUNTIFS(消耗品一覧!$C:$C,$B6,消耗品一覧!$E:$E,"インク")</f>
        <v/>
      </c>
      <c r="F6" s="2">
        <f>COUNTIFS(消耗品一覧!$C:$C,$B6,消耗品一覧!$E:$E,"ドラム")</f>
        <v/>
      </c>
      <c r="G6" s="2">
        <f>COUNTIFS(消耗品一覧!$C:$C,$B6,消耗品一覧!$E:$E,"廃トナー")</f>
        <v/>
      </c>
      <c r="H6" s="2">
        <f>COUNTIFS(消耗品一覧!$C:$C,$B6,消耗品一覧!$E:$E,"メンテナンス")+COUNTIFS(消耗品一覧!$C:$C,$B6,消耗品一覧!$E:$E,"ベルト")</f>
        <v/>
      </c>
      <c r="I6" s="2">
        <f>COUNTIFS(消耗品一覧!$C:$C,$B6,消耗品一覧!$O:$O,"未登録")</f>
        <v/>
      </c>
      <c r="J6" s="2" t="inlineStr">
        <is>
          <t>あり</t>
        </is>
      </c>
      <c r="K6" s="3" t="inlineStr">
        <is>
          <t>トナーカートリッジ524/524II のリサイクル品が流通</t>
        </is>
      </c>
      <c r="L6" s="3" t="inlineStr">
        <is>
          <t>台帳表記は LBP-6710。実機は Satera LBP6710i。カートリッジはドラム一体型で、感光体の別売なし。</t>
        </is>
      </c>
      <c r="M6" s="2" t="inlineStr">
        <is>
          <t>S32</t>
        </is>
      </c>
    </row>
    <row r="7">
      <c r="A7" s="2" t="inlineStr">
        <is>
          <t>Canon</t>
        </is>
      </c>
      <c r="B7" s="2" t="inlineStr">
        <is>
          <t>Canon iR-ADV C3520F</t>
        </is>
      </c>
      <c r="C7" s="8" t="n">
        <v>10</v>
      </c>
      <c r="D7" s="2">
        <f>COUNTIF(消耗品一覧!$C:$C,$B7)</f>
        <v/>
      </c>
      <c r="E7" s="2">
        <f>COUNTIFS(消耗品一覧!$C:$C,$B7,消耗品一覧!$E:$E,"トナー")+COUNTIFS(消耗品一覧!$C:$C,$B7,消耗品一覧!$E:$E,"インク")</f>
        <v/>
      </c>
      <c r="F7" s="2">
        <f>COUNTIFS(消耗品一覧!$C:$C,$B7,消耗品一覧!$E:$E,"ドラム")</f>
        <v/>
      </c>
      <c r="G7" s="2">
        <f>COUNTIFS(消耗品一覧!$C:$C,$B7,消耗品一覧!$E:$E,"廃トナー")</f>
        <v/>
      </c>
      <c r="H7" s="2">
        <f>COUNTIFS(消耗品一覧!$C:$C,$B7,消耗品一覧!$E:$E,"メンテナンス")+COUNTIFS(消耗品一覧!$C:$C,$B7,消耗品一覧!$E:$E,"ベルト")</f>
        <v/>
      </c>
      <c r="I7" s="2">
        <f>COUNTIFS(消耗品一覧!$C:$C,$B7,消耗品一覧!$O:$O,"未登録")</f>
        <v/>
      </c>
      <c r="J7" s="2" t="inlineStr">
        <is>
          <t>あり</t>
        </is>
      </c>
      <c r="K7" s="3" t="inlineStr">
        <is>
          <t>NPG-67 のリサイクルトナーが各社にあり（4色）。WT-202 は純正のみが基本</t>
        </is>
      </c>
      <c r="L7" s="3" t="inlineStr">
        <is>
          <t>複合機。国内では感光体・定着などは保守契約でサービス交換が基本。一般に買えるのはトナー NPG-67 と回収トナー容器 WT-202。</t>
        </is>
      </c>
      <c r="M7" s="2" t="inlineStr">
        <is>
          <t>S22</t>
        </is>
      </c>
    </row>
    <row r="8">
      <c r="A8" s="2" t="inlineStr">
        <is>
          <t>Canon</t>
        </is>
      </c>
      <c r="B8" s="2" t="inlineStr">
        <is>
          <t>Canon iR-ADV C3530F</t>
        </is>
      </c>
      <c r="C8" s="8" t="n">
        <v>4</v>
      </c>
      <c r="D8" s="2">
        <f>COUNTIF(消耗品一覧!$C:$C,$B8)</f>
        <v/>
      </c>
      <c r="E8" s="2">
        <f>COUNTIFS(消耗品一覧!$C:$C,$B8,消耗品一覧!$E:$E,"トナー")+COUNTIFS(消耗品一覧!$C:$C,$B8,消耗品一覧!$E:$E,"インク")</f>
        <v/>
      </c>
      <c r="F8" s="2">
        <f>COUNTIFS(消耗品一覧!$C:$C,$B8,消耗品一覧!$E:$E,"ドラム")</f>
        <v/>
      </c>
      <c r="G8" s="2">
        <f>COUNTIFS(消耗品一覧!$C:$C,$B8,消耗品一覧!$E:$E,"廃トナー")</f>
        <v/>
      </c>
      <c r="H8" s="2">
        <f>COUNTIFS(消耗品一覧!$C:$C,$B8,消耗品一覧!$E:$E,"メンテナンス")+COUNTIFS(消耗品一覧!$C:$C,$B8,消耗品一覧!$E:$E,"ベルト")</f>
        <v/>
      </c>
      <c r="I8" s="2">
        <f>COUNTIFS(消耗品一覧!$C:$C,$B8,消耗品一覧!$O:$O,"未登録")</f>
        <v/>
      </c>
      <c r="J8" s="2" t="inlineStr">
        <is>
          <t>あり</t>
        </is>
      </c>
      <c r="K8" s="3" t="inlineStr">
        <is>
          <t>NPG-67 のリサイクルトナー（C3520F と共通）</t>
        </is>
      </c>
      <c r="L8" s="3" t="inlineStr">
        <is>
          <t>消耗品は C3520F と共通（NPG-67 / WT-202）。</t>
        </is>
      </c>
      <c r="M8" s="2" t="inlineStr">
        <is>
          <t>S22</t>
        </is>
      </c>
    </row>
    <row r="9">
      <c r="A9" s="2" t="inlineStr">
        <is>
          <t>EPSON</t>
        </is>
      </c>
      <c r="B9" s="2" t="inlineStr">
        <is>
          <t>EPSON PX-M791FT</t>
        </is>
      </c>
      <c r="C9" s="8" t="n">
        <v>3</v>
      </c>
      <c r="D9" s="2">
        <f>COUNTIF(消耗品一覧!$C:$C,$B9)</f>
        <v/>
      </c>
      <c r="E9" s="2">
        <f>COUNTIFS(消耗品一覧!$C:$C,$B9,消耗品一覧!$E:$E,"トナー")+COUNTIFS(消耗品一覧!$C:$C,$B9,消耗品一覧!$E:$E,"インク")</f>
        <v/>
      </c>
      <c r="F9" s="2">
        <f>COUNTIFS(消耗品一覧!$C:$C,$B9,消耗品一覧!$E:$E,"ドラム")</f>
        <v/>
      </c>
      <c r="G9" s="2">
        <f>COUNTIFS(消耗品一覧!$C:$C,$B9,消耗品一覧!$E:$E,"廃トナー")</f>
        <v/>
      </c>
      <c r="H9" s="2">
        <f>COUNTIFS(消耗品一覧!$C:$C,$B9,消耗品一覧!$E:$E,"メンテナンス")+COUNTIFS(消耗品一覧!$C:$C,$B9,消耗品一覧!$E:$E,"ベルト")</f>
        <v/>
      </c>
      <c r="I9" s="2">
        <f>COUNTIFS(消耗品一覧!$C:$C,$B9,消耗品一覧!$O:$O,"未登録")</f>
        <v/>
      </c>
      <c r="J9" s="2" t="inlineStr">
        <is>
          <t>あり（互換）</t>
        </is>
      </c>
      <c r="K9" s="3" t="inlineStr">
        <is>
          <t>IT08 系の互換インクボトル、PXMB9 の互換メンテナンスボックスあり</t>
        </is>
      </c>
      <c r="L9" s="3" t="inlineStr">
        <is>
          <t>エコタンク（インクボトル）。純正はオープン価格で、価格は販売店見積り。</t>
        </is>
      </c>
      <c r="M9" s="2" t="inlineStr">
        <is>
          <t>S28</t>
        </is>
      </c>
    </row>
    <row r="10">
      <c r="A10" s="2" t="inlineStr">
        <is>
          <t>EPSON</t>
        </is>
      </c>
      <c r="B10" s="2" t="inlineStr">
        <is>
          <t>EPSON PX-S381</t>
        </is>
      </c>
      <c r="C10" s="8" t="n">
        <v>1</v>
      </c>
      <c r="D10" s="2">
        <f>COUNTIF(消耗品一覧!$C:$C,$B10)</f>
        <v/>
      </c>
      <c r="E10" s="2">
        <f>COUNTIFS(消耗品一覧!$C:$C,$B10,消耗品一覧!$E:$E,"トナー")+COUNTIFS(消耗品一覧!$C:$C,$B10,消耗品一覧!$E:$E,"インク")</f>
        <v/>
      </c>
      <c r="F10" s="2">
        <f>COUNTIFS(消耗品一覧!$C:$C,$B10,消耗品一覧!$E:$E,"ドラム")</f>
        <v/>
      </c>
      <c r="G10" s="2">
        <f>COUNTIFS(消耗品一覧!$C:$C,$B10,消耗品一覧!$E:$E,"廃トナー")</f>
        <v/>
      </c>
      <c r="H10" s="2">
        <f>COUNTIFS(消耗品一覧!$C:$C,$B10,消耗品一覧!$E:$E,"メンテナンス")+COUNTIFS(消耗品一覧!$C:$C,$B10,消耗品一覧!$E:$E,"ベルト")</f>
        <v/>
      </c>
      <c r="I10" s="2">
        <f>COUNTIFS(消耗品一覧!$C:$C,$B10,消耗品一覧!$O:$O,"未登録")</f>
        <v/>
      </c>
      <c r="J10" s="2" t="inlineStr">
        <is>
          <t>あり（互換）</t>
        </is>
      </c>
      <c r="K10" s="3" t="inlineStr">
        <is>
          <t>IP04KA 互換インクパック、PXMB8 互換メンテナンスボックスあり</t>
        </is>
      </c>
      <c r="L10" s="3" t="inlineStr">
        <is>
          <t>台帳の型番は PX-S381L の表記違いと思われる（同一の IP04KA / PXMB8）。台帳を直すか確認したい。</t>
        </is>
      </c>
      <c r="M10" s="2" t="inlineStr">
        <is>
          <t>S30</t>
        </is>
      </c>
    </row>
    <row r="11">
      <c r="A11" s="2" t="inlineStr">
        <is>
          <t>EPSON</t>
        </is>
      </c>
      <c r="B11" s="2" t="inlineStr">
        <is>
          <t>EPSON PX-S381L</t>
        </is>
      </c>
      <c r="C11" s="8" t="n">
        <v>4</v>
      </c>
      <c r="D11" s="2">
        <f>COUNTIF(消耗品一覧!$C:$C,$B11)</f>
        <v/>
      </c>
      <c r="E11" s="2">
        <f>COUNTIFS(消耗品一覧!$C:$C,$B11,消耗品一覧!$E:$E,"トナー")+COUNTIFS(消耗品一覧!$C:$C,$B11,消耗品一覧!$E:$E,"インク")</f>
        <v/>
      </c>
      <c r="F11" s="2">
        <f>COUNTIFS(消耗品一覧!$C:$C,$B11,消耗品一覧!$E:$E,"ドラム")</f>
        <v/>
      </c>
      <c r="G11" s="2">
        <f>COUNTIFS(消耗品一覧!$C:$C,$B11,消耗品一覧!$E:$E,"廃トナー")</f>
        <v/>
      </c>
      <c r="H11" s="2">
        <f>COUNTIFS(消耗品一覧!$C:$C,$B11,消耗品一覧!$E:$E,"メンテナンス")+COUNTIFS(消耗品一覧!$C:$C,$B11,消耗品一覧!$E:$E,"ベルト")</f>
        <v/>
      </c>
      <c r="I11" s="2">
        <f>COUNTIFS(消耗品一覧!$C:$C,$B11,消耗品一覧!$O:$O,"未登録")</f>
        <v/>
      </c>
      <c r="J11" s="2" t="inlineStr">
        <is>
          <t>あり（互換）</t>
        </is>
      </c>
      <c r="K11" s="3" t="inlineStr">
        <is>
          <t>IP04KA 互換インクパック、PXMB8 互換メンテナンスボックスあり</t>
        </is>
      </c>
      <c r="L11" s="3" t="inlineStr">
        <is>
          <t>インクパックは IP04KA。旧 IP03KB も使用可。</t>
        </is>
      </c>
      <c r="M11" s="2" t="inlineStr">
        <is>
          <t>S30</t>
        </is>
      </c>
    </row>
    <row r="12">
      <c r="A12" s="2" t="inlineStr">
        <is>
          <t>FUJITSU</t>
        </is>
      </c>
      <c r="B12" s="2" t="inlineStr">
        <is>
          <t>FUJITSU XL-9322</t>
        </is>
      </c>
      <c r="C12" s="8" t="n">
        <v>1</v>
      </c>
      <c r="D12" s="2">
        <f>COUNTIF(消耗品一覧!$C:$C,$B12)</f>
        <v/>
      </c>
      <c r="E12" s="2">
        <f>COUNTIFS(消耗品一覧!$C:$C,$B12,消耗品一覧!$E:$E,"トナー")+COUNTIFS(消耗品一覧!$C:$C,$B12,消耗品一覧!$E:$E,"インク")</f>
        <v/>
      </c>
      <c r="F12" s="2">
        <f>COUNTIFS(消耗品一覧!$C:$C,$B12,消耗品一覧!$E:$E,"ドラム")</f>
        <v/>
      </c>
      <c r="G12" s="2">
        <f>COUNTIFS(消耗品一覧!$C:$C,$B12,消耗品一覧!$E:$E,"廃トナー")</f>
        <v/>
      </c>
      <c r="H12" s="2">
        <f>COUNTIFS(消耗品一覧!$C:$C,$B12,消耗品一覧!$E:$E,"メンテナンス")+COUNTIFS(消耗品一覧!$C:$C,$B12,消耗品一覧!$E:$E,"ベルト")</f>
        <v/>
      </c>
      <c r="I12" s="2">
        <f>COUNTIFS(消耗品一覧!$C:$C,$B12,消耗品一覧!$O:$O,"未登録")</f>
        <v/>
      </c>
      <c r="J12" s="2" t="inlineStr">
        <is>
          <t>あり</t>
        </is>
      </c>
      <c r="K12" s="3" t="inlineStr">
        <is>
          <t>LB321A/LB321M とドラム LB321 のリサイクル品あり（純正の 1/6 程度の例）</t>
        </is>
      </c>
      <c r="L12" s="3" t="inlineStr">
        <is>
          <t>大容量トナーの型番が資料により LB321M / LB321B と分かれる。発注前に実機のラベルで要確認。</t>
        </is>
      </c>
      <c r="M12" s="2" t="inlineStr">
        <is>
          <t>S24</t>
        </is>
      </c>
    </row>
    <row r="13">
      <c r="A13" s="2" t="inlineStr">
        <is>
          <t>FujiXerox</t>
        </is>
      </c>
      <c r="B13" s="2" t="inlineStr">
        <is>
          <t>FujiXerox DocuPrint CP500 d</t>
        </is>
      </c>
      <c r="C13" s="8" t="n">
        <v>1</v>
      </c>
      <c r="D13" s="2">
        <f>COUNTIF(消耗品一覧!$C:$C,$B13)</f>
        <v/>
      </c>
      <c r="E13" s="2">
        <f>COUNTIFS(消耗品一覧!$C:$C,$B13,消耗品一覧!$E:$E,"トナー")+COUNTIFS(消耗品一覧!$C:$C,$B13,消耗品一覧!$E:$E,"インク")</f>
        <v/>
      </c>
      <c r="F13" s="2">
        <f>COUNTIFS(消耗品一覧!$C:$C,$B13,消耗品一覧!$E:$E,"ドラム")</f>
        <v/>
      </c>
      <c r="G13" s="2">
        <f>COUNTIFS(消耗品一覧!$C:$C,$B13,消耗品一覧!$E:$E,"廃トナー")</f>
        <v/>
      </c>
      <c r="H13" s="2">
        <f>COUNTIFS(消耗品一覧!$C:$C,$B13,消耗品一覧!$E:$E,"メンテナンス")+COUNTIFS(消耗品一覧!$C:$C,$B13,消耗品一覧!$E:$E,"ベルト")</f>
        <v/>
      </c>
      <c r="I13" s="2">
        <f>COUNTIFS(消耗品一覧!$C:$C,$B13,消耗品一覧!$O:$O,"未登録")</f>
        <v/>
      </c>
      <c r="J13" s="2" t="inlineStr">
        <is>
          <t>あり</t>
        </is>
      </c>
      <c r="K13" s="3" t="inlineStr">
        <is>
          <t>CT203057〜60 のリサイクルトナー、CT351149〜52 の再生ドラムが流通</t>
        </is>
      </c>
      <c r="L13" s="3" t="inlineStr">
        <is>
          <t>現・富士フイルムビジネスイノベーション。標準容量と大容量の 2 系統。ドラムは色ごとに別売。</t>
        </is>
      </c>
      <c r="M13" s="2" t="inlineStr">
        <is>
          <t>S33</t>
        </is>
      </c>
    </row>
    <row r="14">
      <c r="A14" s="2" t="inlineStr">
        <is>
          <t>HP</t>
        </is>
      </c>
      <c r="B14" s="2" t="inlineStr">
        <is>
          <t>HP LaserJet M601</t>
        </is>
      </c>
      <c r="C14" s="8" t="n">
        <v>1</v>
      </c>
      <c r="D14" s="2">
        <f>COUNTIF(消耗品一覧!$C:$C,$B14)</f>
        <v/>
      </c>
      <c r="E14" s="2">
        <f>COUNTIFS(消耗品一覧!$C:$C,$B14,消耗品一覧!$E:$E,"トナー")+COUNTIFS(消耗品一覧!$C:$C,$B14,消耗品一覧!$E:$E,"インク")</f>
        <v/>
      </c>
      <c r="F14" s="2">
        <f>COUNTIFS(消耗品一覧!$C:$C,$B14,消耗品一覧!$E:$E,"ドラム")</f>
        <v/>
      </c>
      <c r="G14" s="2">
        <f>COUNTIFS(消耗品一覧!$C:$C,$B14,消耗品一覧!$E:$E,"廃トナー")</f>
        <v/>
      </c>
      <c r="H14" s="2">
        <f>COUNTIFS(消耗品一覧!$C:$C,$B14,消耗品一覧!$E:$E,"メンテナンス")+COUNTIFS(消耗品一覧!$C:$C,$B14,消耗品一覧!$E:$E,"ベルト")</f>
        <v/>
      </c>
      <c r="I14" s="2">
        <f>COUNTIFS(消耗品一覧!$C:$C,$B14,消耗品一覧!$O:$O,"未登録")</f>
        <v/>
      </c>
      <c r="J14" s="2" t="inlineStr">
        <is>
          <t>あり</t>
        </is>
      </c>
      <c r="K14" s="3" t="inlineStr">
        <is>
          <t>CE390A/CE390X は互換・リサイクル品が非常に多い</t>
        </is>
      </c>
      <c r="L14" s="3" t="inlineStr">
        <is>
          <t>CE390A（90A）と大容量 CE390X（90X）。定着を含むメンテナンスキット CF064A あり。</t>
        </is>
      </c>
      <c r="M14" s="2" t="inlineStr">
        <is>
          <t>S28</t>
        </is>
      </c>
    </row>
    <row r="15">
      <c r="A15" s="2" t="inlineStr">
        <is>
          <t>KYOCERA</t>
        </is>
      </c>
      <c r="B15" s="2" t="inlineStr">
        <is>
          <t>KYOCERA ECOSYS PA6000x</t>
        </is>
      </c>
      <c r="C15" s="8" t="n">
        <v>3</v>
      </c>
      <c r="D15" s="2">
        <f>COUNTIF(消耗品一覧!$C:$C,$B15)</f>
        <v/>
      </c>
      <c r="E15" s="2">
        <f>COUNTIFS(消耗品一覧!$C:$C,$B15,消耗品一覧!$E:$E,"トナー")+COUNTIFS(消耗品一覧!$C:$C,$B15,消耗品一覧!$E:$E,"インク")</f>
        <v/>
      </c>
      <c r="F15" s="2">
        <f>COUNTIFS(消耗品一覧!$C:$C,$B15,消耗品一覧!$E:$E,"ドラム")</f>
        <v/>
      </c>
      <c r="G15" s="2">
        <f>COUNTIFS(消耗品一覧!$C:$C,$B15,消耗品一覧!$E:$E,"廃トナー")</f>
        <v/>
      </c>
      <c r="H15" s="2">
        <f>COUNTIFS(消耗品一覧!$C:$C,$B15,消耗品一覧!$E:$E,"メンテナンス")+COUNTIFS(消耗品一覧!$C:$C,$B15,消耗品一覧!$E:$E,"ベルト")</f>
        <v/>
      </c>
      <c r="I15" s="2">
        <f>COUNTIFS(消耗品一覧!$C:$C,$B15,消耗品一覧!$O:$O,"未登録")</f>
        <v/>
      </c>
      <c r="J15" s="2" t="inlineStr">
        <is>
          <t>あり（リターン方式）</t>
        </is>
      </c>
      <c r="K15" s="3" t="inlineStr">
        <is>
          <t>TK-3431 リサイクルは使用済みを返却する方式が主。廃トナーBOX 同梱の商品あり</t>
        </is>
      </c>
      <c r="L15" s="3" t="inlineStr">
        <is>
          <t>トナー TK-3431 は 2 本単位の販売。ドラム・廃トナーボックス単体の公式掲載はなく、MK-3381 メンテナンスキットで対応。</t>
        </is>
      </c>
      <c r="M15" s="2" t="inlineStr">
        <is>
          <t>S31</t>
        </is>
      </c>
    </row>
    <row r="16">
      <c r="A16" s="2" t="inlineStr">
        <is>
          <t>Ricoh</t>
        </is>
      </c>
      <c r="B16" s="2" t="inlineStr">
        <is>
          <t>Ricoh IMC3500</t>
        </is>
      </c>
      <c r="C16" s="8" t="n">
        <v>1</v>
      </c>
      <c r="D16" s="2">
        <f>COUNTIF(消耗品一覧!$C:$C,$B16)</f>
        <v/>
      </c>
      <c r="E16" s="2">
        <f>COUNTIFS(消耗品一覧!$C:$C,$B16,消耗品一覧!$E:$E,"トナー")+COUNTIFS(消耗品一覧!$C:$C,$B16,消耗品一覧!$E:$E,"インク")</f>
        <v/>
      </c>
      <c r="F16" s="2">
        <f>COUNTIFS(消耗品一覧!$C:$C,$B16,消耗品一覧!$E:$E,"ドラム")</f>
        <v/>
      </c>
      <c r="G16" s="2">
        <f>COUNTIFS(消耗品一覧!$C:$C,$B16,消耗品一覧!$E:$E,"廃トナー")</f>
        <v/>
      </c>
      <c r="H16" s="2">
        <f>COUNTIFS(消耗品一覧!$C:$C,$B16,消耗品一覧!$E:$E,"メンテナンス")+COUNTIFS(消耗品一覧!$C:$C,$B16,消耗品一覧!$E:$E,"ベルト")</f>
        <v/>
      </c>
      <c r="I16" s="2">
        <f>COUNTIFS(消耗品一覧!$C:$C,$B16,消耗品一覧!$O:$O,"未登録")</f>
        <v/>
      </c>
      <c r="J16" s="2" t="inlineStr">
        <is>
          <t>あり</t>
        </is>
      </c>
      <c r="K16" s="3" t="inlineStr">
        <is>
          <t>C3503 各色のリサイクルトナーが流通</t>
        </is>
      </c>
      <c r="L16" s="3" t="inlineStr">
        <is>
          <t>複合機。保守契約の種別でトナーの品目が変わる（パフォーマンス契約用＝MP P トナー、スポット保守契約用＝MP トナー）。価格は販売担当に確認。</t>
        </is>
      </c>
      <c r="M16" s="2" t="inlineStr">
        <is>
          <t>S27</t>
        </is>
      </c>
    </row>
    <row r="17">
      <c r="A17" s="2" t="inlineStr">
        <is>
          <t>Ricoh</t>
        </is>
      </c>
      <c r="B17" s="2" t="inlineStr">
        <is>
          <t>Ricoh IPSio SP 4510</t>
        </is>
      </c>
      <c r="C17" s="8" t="n">
        <v>1</v>
      </c>
      <c r="D17" s="2">
        <f>COUNTIF(消耗品一覧!$C:$C,$B17)</f>
        <v/>
      </c>
      <c r="E17" s="2">
        <f>COUNTIFS(消耗品一覧!$C:$C,$B17,消耗品一覧!$E:$E,"トナー")+COUNTIFS(消耗品一覧!$C:$C,$B17,消耗品一覧!$E:$E,"インク")</f>
        <v/>
      </c>
      <c r="F17" s="2">
        <f>COUNTIFS(消耗品一覧!$C:$C,$B17,消耗品一覧!$E:$E,"ドラム")</f>
        <v/>
      </c>
      <c r="G17" s="2">
        <f>COUNTIFS(消耗品一覧!$C:$C,$B17,消耗品一覧!$E:$E,"廃トナー")</f>
        <v/>
      </c>
      <c r="H17" s="2">
        <f>COUNTIFS(消耗品一覧!$C:$C,$B17,消耗品一覧!$E:$E,"メンテナンス")+COUNTIFS(消耗品一覧!$C:$C,$B17,消耗品一覧!$E:$E,"ベルト")</f>
        <v/>
      </c>
      <c r="I17" s="2">
        <f>COUNTIFS(消耗品一覧!$C:$C,$B17,消耗品一覧!$O:$O,"未登録")</f>
        <v/>
      </c>
      <c r="J17" s="2" t="inlineStr">
        <is>
          <t>あり</t>
        </is>
      </c>
      <c r="K17" s="3" t="inlineStr">
        <is>
          <t>SP トナー 4500/4500H とドラムユニット 4500 のリサイクル品あり</t>
        </is>
      </c>
      <c r="L17" s="3" t="inlineStr">
        <is>
          <t>台帳表記は IPSio。消耗品は RICOH SP 4510/4500 と同一（4500 系）。</t>
        </is>
      </c>
      <c r="M17" s="2" t="inlineStr">
        <is>
          <t>S35</t>
        </is>
      </c>
    </row>
    <row r="18">
      <c r="A18" s="2" t="inlineStr">
        <is>
          <t>Ricoh</t>
        </is>
      </c>
      <c r="B18" s="2" t="inlineStr">
        <is>
          <t>Ricoh P C301SF</t>
        </is>
      </c>
      <c r="C18" s="8" t="n">
        <v>3</v>
      </c>
      <c r="D18" s="2">
        <f>COUNTIF(消耗品一覧!$C:$C,$B18)</f>
        <v/>
      </c>
      <c r="E18" s="2">
        <f>COUNTIFS(消耗品一覧!$C:$C,$B18,消耗品一覧!$E:$E,"トナー")+COUNTIFS(消耗品一覧!$C:$C,$B18,消耗品一覧!$E:$E,"インク")</f>
        <v/>
      </c>
      <c r="F18" s="2">
        <f>COUNTIFS(消耗品一覧!$C:$C,$B18,消耗品一覧!$E:$E,"ドラム")</f>
        <v/>
      </c>
      <c r="G18" s="2">
        <f>COUNTIFS(消耗品一覧!$C:$C,$B18,消耗品一覧!$E:$E,"廃トナー")</f>
        <v/>
      </c>
      <c r="H18" s="2">
        <f>COUNTIFS(消耗品一覧!$C:$C,$B18,消耗品一覧!$E:$E,"メンテナンス")+COUNTIFS(消耗品一覧!$C:$C,$B18,消耗品一覧!$E:$E,"ベルト")</f>
        <v/>
      </c>
      <c r="I18" s="2">
        <f>COUNTIFS(消耗品一覧!$C:$C,$B18,消耗品一覧!$O:$O,"未登録")</f>
        <v/>
      </c>
      <c r="J18" s="2" t="inlineStr">
        <is>
          <t>あり</t>
        </is>
      </c>
      <c r="K18" s="3" t="inlineStr">
        <is>
          <t>P C300H 各色のリサイクルトナーあり</t>
        </is>
      </c>
      <c r="L18" s="3" t="inlineStr">
        <is>
          <t>公式ページはトナーと廃トナーボトル C220 のみ。感光体の記載なし。</t>
        </is>
      </c>
      <c r="M18" s="2" t="inlineStr">
        <is>
          <t>S28</t>
        </is>
      </c>
    </row>
    <row r="19">
      <c r="A19" s="2" t="inlineStr">
        <is>
          <t>Ricoh</t>
        </is>
      </c>
      <c r="B19" s="2" t="inlineStr">
        <is>
          <t>Ricoh P501</t>
        </is>
      </c>
      <c r="C19" s="8" t="n">
        <v>12</v>
      </c>
      <c r="D19" s="2">
        <f>COUNTIF(消耗品一覧!$C:$C,$B19)</f>
        <v/>
      </c>
      <c r="E19" s="2">
        <f>COUNTIFS(消耗品一覧!$C:$C,$B19,消耗品一覧!$E:$E,"トナー")+COUNTIFS(消耗品一覧!$C:$C,$B19,消耗品一覧!$E:$E,"インク")</f>
        <v/>
      </c>
      <c r="F19" s="2">
        <f>COUNTIFS(消耗品一覧!$C:$C,$B19,消耗品一覧!$E:$E,"ドラム")</f>
        <v/>
      </c>
      <c r="G19" s="2">
        <f>COUNTIFS(消耗品一覧!$C:$C,$B19,消耗品一覧!$E:$E,"廃トナー")</f>
        <v/>
      </c>
      <c r="H19" s="2">
        <f>COUNTIFS(消耗品一覧!$C:$C,$B19,消耗品一覧!$E:$E,"メンテナンス")+COUNTIFS(消耗品一覧!$C:$C,$B19,消耗品一覧!$E:$E,"ベルト")</f>
        <v/>
      </c>
      <c r="I19" s="2">
        <f>COUNTIFS(消耗品一覧!$C:$C,$B19,消耗品一覧!$O:$O,"未登録")</f>
        <v/>
      </c>
      <c r="J19" s="2" t="inlineStr">
        <is>
          <t>あり</t>
        </is>
      </c>
      <c r="K19" s="3" t="inlineStr">
        <is>
          <t>P 500H のリサイクルトナー（残量表示対応をうたう商品あり）</t>
        </is>
      </c>
      <c r="L19" s="3" t="inlineStr">
        <is>
          <t>台帳に「Ricoh P501」「Ricoh P 501」の 2 表記があり同一機種（12 台）。</t>
        </is>
      </c>
      <c r="M19" s="2" t="inlineStr">
        <is>
          <t>S28</t>
        </is>
      </c>
    </row>
    <row r="20">
      <c r="A20" s="2" t="inlineStr">
        <is>
          <t>Ricoh</t>
        </is>
      </c>
      <c r="B20" s="2" t="inlineStr">
        <is>
          <t>Ricoh SP 3610</t>
        </is>
      </c>
      <c r="C20" s="8" t="n">
        <v>1</v>
      </c>
      <c r="D20" s="2">
        <f>COUNTIF(消耗品一覧!$C:$C,$B20)</f>
        <v/>
      </c>
      <c r="E20" s="2">
        <f>COUNTIFS(消耗品一覧!$C:$C,$B20,消耗品一覧!$E:$E,"トナー")+COUNTIFS(消耗品一覧!$C:$C,$B20,消耗品一覧!$E:$E,"インク")</f>
        <v/>
      </c>
      <c r="F20" s="2">
        <f>COUNTIFS(消耗品一覧!$C:$C,$B20,消耗品一覧!$E:$E,"ドラム")</f>
        <v/>
      </c>
      <c r="G20" s="2">
        <f>COUNTIFS(消耗品一覧!$C:$C,$B20,消耗品一覧!$E:$E,"廃トナー")</f>
        <v/>
      </c>
      <c r="H20" s="2">
        <f>COUNTIFS(消耗品一覧!$C:$C,$B20,消耗品一覧!$E:$E,"メンテナンス")+COUNTIFS(消耗品一覧!$C:$C,$B20,消耗品一覧!$E:$E,"ベルト")</f>
        <v/>
      </c>
      <c r="I20" s="2">
        <f>COUNTIFS(消耗品一覧!$C:$C,$B20,消耗品一覧!$O:$O,"未登録")</f>
        <v/>
      </c>
      <c r="J20" s="2" t="inlineStr">
        <is>
          <t>あり</t>
        </is>
      </c>
      <c r="K20" s="3" t="inlineStr">
        <is>
          <t>SP トナー 4500 系とドラムユニット 4500 のリサイクル品あり</t>
        </is>
      </c>
      <c r="L20" s="3" t="inlineStr">
        <is>
          <t>公式の消耗品ページに載るのは 4500L / 4500 の 2 種。台帳では 4500H を紐づけているが、公式ページに 4500H の記載はない（4500H は SP 4510/4500 用）。要確認。</t>
        </is>
      </c>
      <c r="M20" s="2" t="inlineStr">
        <is>
          <t>S29</t>
        </is>
      </c>
    </row>
    <row r="21">
      <c r="A21" s="2" t="inlineStr">
        <is>
          <t>Ricoh</t>
        </is>
      </c>
      <c r="B21" s="2" t="inlineStr">
        <is>
          <t>Ricoh SP 4310</t>
        </is>
      </c>
      <c r="C21" s="8" t="n">
        <v>2</v>
      </c>
      <c r="D21" s="2">
        <f>COUNTIF(消耗品一覧!$C:$C,$B21)</f>
        <v/>
      </c>
      <c r="E21" s="2">
        <f>COUNTIFS(消耗品一覧!$C:$C,$B21,消耗品一覧!$E:$E,"トナー")+COUNTIFS(消耗品一覧!$C:$C,$B21,消耗品一覧!$E:$E,"インク")</f>
        <v/>
      </c>
      <c r="F21" s="2">
        <f>COUNTIFS(消耗品一覧!$C:$C,$B21,消耗品一覧!$E:$E,"ドラム")</f>
        <v/>
      </c>
      <c r="G21" s="2">
        <f>COUNTIFS(消耗品一覧!$C:$C,$B21,消耗品一覧!$E:$E,"廃トナー")</f>
        <v/>
      </c>
      <c r="H21" s="2">
        <f>COUNTIFS(消耗品一覧!$C:$C,$B21,消耗品一覧!$E:$E,"メンテナンス")+COUNTIFS(消耗品一覧!$C:$C,$B21,消耗品一覧!$E:$E,"ベルト")</f>
        <v/>
      </c>
      <c r="I21" s="2">
        <f>COUNTIFS(消耗品一覧!$C:$C,$B21,消耗品一覧!$O:$O,"未登録")</f>
        <v/>
      </c>
      <c r="J21" s="2" t="inlineStr">
        <is>
          <t>あり</t>
        </is>
      </c>
      <c r="K21" s="3" t="inlineStr">
        <is>
          <t>SP トナー 4200/4200H のリサイクル品あり</t>
        </is>
      </c>
      <c r="L21" s="3" t="inlineStr">
        <is>
          <t>公式の消耗品ページはトナーのみ。感光体ユニットの記載なし。SPEC 品は使用後にリコーへ返却する前提の廉価品。</t>
        </is>
      </c>
      <c r="M21" s="2" t="inlineStr">
        <is>
          <t>S28</t>
        </is>
      </c>
    </row>
    <row r="22">
      <c r="A22" s="2" t="inlineStr">
        <is>
          <t>Ricoh</t>
        </is>
      </c>
      <c r="B22" s="2" t="inlineStr">
        <is>
          <t>Ricoh SP 4510</t>
        </is>
      </c>
      <c r="C22" s="8" t="n">
        <v>2</v>
      </c>
      <c r="D22" s="2">
        <f>COUNTIF(消耗品一覧!$C:$C,$B22)</f>
        <v/>
      </c>
      <c r="E22" s="2">
        <f>COUNTIFS(消耗品一覧!$C:$C,$B22,消耗品一覧!$E:$E,"トナー")+COUNTIFS(消耗品一覧!$C:$C,$B22,消耗品一覧!$E:$E,"インク")</f>
        <v/>
      </c>
      <c r="F22" s="2">
        <f>COUNTIFS(消耗品一覧!$C:$C,$B22,消耗品一覧!$E:$E,"ドラム")</f>
        <v/>
      </c>
      <c r="G22" s="2">
        <f>COUNTIFS(消耗品一覧!$C:$C,$B22,消耗品一覧!$E:$E,"廃トナー")</f>
        <v/>
      </c>
      <c r="H22" s="2">
        <f>COUNTIFS(消耗品一覧!$C:$C,$B22,消耗品一覧!$E:$E,"メンテナンス")+COUNTIFS(消耗品一覧!$C:$C,$B22,消耗品一覧!$E:$E,"ベルト")</f>
        <v/>
      </c>
      <c r="I22" s="2">
        <f>COUNTIFS(消耗品一覧!$C:$C,$B22,消耗品一覧!$O:$O,"未登録")</f>
        <v/>
      </c>
      <c r="J22" s="2" t="inlineStr">
        <is>
          <t>あり</t>
        </is>
      </c>
      <c r="K22" s="3" t="inlineStr">
        <is>
          <t>SP トナー 4500 系とドラムユニット 4500 のリサイクル品あり</t>
        </is>
      </c>
      <c r="L22" s="3" t="inlineStr">
        <is>
          <t>消耗品は 4500 系（4500L / 4500 / 4500H / ドラムユニット 4500）。</t>
        </is>
      </c>
      <c r="M22" s="2" t="inlineStr">
        <is>
          <t>S35</t>
        </is>
      </c>
    </row>
    <row r="23">
      <c r="A23" s="2" t="inlineStr">
        <is>
          <t>Ricoh</t>
        </is>
      </c>
      <c r="B23" s="2" t="inlineStr">
        <is>
          <t>Ricoh SP C320</t>
        </is>
      </c>
      <c r="C23" s="8" t="n">
        <v>1</v>
      </c>
      <c r="D23" s="2">
        <f>COUNTIF(消耗品一覧!$C:$C,$B23)</f>
        <v/>
      </c>
      <c r="E23" s="2">
        <f>COUNTIFS(消耗品一覧!$C:$C,$B23,消耗品一覧!$E:$E,"トナー")+COUNTIFS(消耗品一覧!$C:$C,$B23,消耗品一覧!$E:$E,"インク")</f>
        <v/>
      </c>
      <c r="F23" s="2">
        <f>COUNTIFS(消耗品一覧!$C:$C,$B23,消耗品一覧!$E:$E,"ドラム")</f>
        <v/>
      </c>
      <c r="G23" s="2">
        <f>COUNTIFS(消耗品一覧!$C:$C,$B23,消耗品一覧!$E:$E,"廃トナー")</f>
        <v/>
      </c>
      <c r="H23" s="2">
        <f>COUNTIFS(消耗品一覧!$C:$C,$B23,消耗品一覧!$E:$E,"メンテナンス")+COUNTIFS(消耗品一覧!$C:$C,$B23,消耗品一覧!$E:$E,"ベルト")</f>
        <v/>
      </c>
      <c r="I23" s="2">
        <f>COUNTIFS(消耗品一覧!$C:$C,$B23,消耗品一覧!$O:$O,"未登録")</f>
        <v/>
      </c>
      <c r="J23" s="2" t="inlineStr">
        <is>
          <t>あり</t>
        </is>
      </c>
      <c r="K23" s="3" t="inlineStr">
        <is>
          <t>C310H 各色のリサイクルトナーあり</t>
        </is>
      </c>
      <c r="L23" s="3" t="inlineStr">
        <is>
          <t>消耗品は SP C341/C342 と共通（C310 / C310H / 廃トナーボトル C310）。</t>
        </is>
      </c>
      <c r="M23" s="2" t="inlineStr">
        <is>
          <t>S28</t>
        </is>
      </c>
    </row>
    <row r="24">
      <c r="A24" s="2" t="inlineStr">
        <is>
          <t>Ricoh</t>
        </is>
      </c>
      <c r="B24" s="2" t="inlineStr">
        <is>
          <t>Ricoh SP C341</t>
        </is>
      </c>
      <c r="C24" s="8" t="n">
        <v>7</v>
      </c>
      <c r="D24" s="2">
        <f>COUNTIF(消耗品一覧!$C:$C,$B24)</f>
        <v/>
      </c>
      <c r="E24" s="2">
        <f>COUNTIFS(消耗品一覧!$C:$C,$B24,消耗品一覧!$E:$E,"トナー")+COUNTIFS(消耗品一覧!$C:$C,$B24,消耗品一覧!$E:$E,"インク")</f>
        <v/>
      </c>
      <c r="F24" s="2">
        <f>COUNTIFS(消耗品一覧!$C:$C,$B24,消耗品一覧!$E:$E,"ドラム")</f>
        <v/>
      </c>
      <c r="G24" s="2">
        <f>COUNTIFS(消耗品一覧!$C:$C,$B24,消耗品一覧!$E:$E,"廃トナー")</f>
        <v/>
      </c>
      <c r="H24" s="2">
        <f>COUNTIFS(消耗品一覧!$C:$C,$B24,消耗品一覧!$E:$E,"メンテナンス")+COUNTIFS(消耗品一覧!$C:$C,$B24,消耗品一覧!$E:$E,"ベルト")</f>
        <v/>
      </c>
      <c r="I24" s="2">
        <f>COUNTIFS(消耗品一覧!$C:$C,$B24,消耗品一覧!$O:$O,"未登録")</f>
        <v/>
      </c>
      <c r="J24" s="2" t="inlineStr">
        <is>
          <t>あり</t>
        </is>
      </c>
      <c r="K24" s="3" t="inlineStr">
        <is>
          <t>C310H 各色のリサイクルトナーあり</t>
        </is>
      </c>
      <c r="L24" s="3" t="inlineStr">
        <is>
          <t>消耗品は SP C320/C342 と共通。公式ページはトナーと廃トナーボトルのみで、感光体の記載なし。</t>
        </is>
      </c>
      <c r="M24" s="2" t="inlineStr">
        <is>
          <t>S28</t>
        </is>
      </c>
    </row>
    <row r="25">
      <c r="A25" s="2" t="inlineStr">
        <is>
          <t>Ricoh</t>
        </is>
      </c>
      <c r="B25" s="2" t="inlineStr">
        <is>
          <t>Ricoh SP C342</t>
        </is>
      </c>
      <c r="C25" s="8" t="n">
        <v>1</v>
      </c>
      <c r="D25" s="2">
        <f>COUNTIF(消耗品一覧!$C:$C,$B25)</f>
        <v/>
      </c>
      <c r="E25" s="2">
        <f>COUNTIFS(消耗品一覧!$C:$C,$B25,消耗品一覧!$E:$E,"トナー")+COUNTIFS(消耗品一覧!$C:$C,$B25,消耗品一覧!$E:$E,"インク")</f>
        <v/>
      </c>
      <c r="F25" s="2">
        <f>COUNTIFS(消耗品一覧!$C:$C,$B25,消耗品一覧!$E:$E,"ドラム")</f>
        <v/>
      </c>
      <c r="G25" s="2">
        <f>COUNTIFS(消耗品一覧!$C:$C,$B25,消耗品一覧!$E:$E,"廃トナー")</f>
        <v/>
      </c>
      <c r="H25" s="2">
        <f>COUNTIFS(消耗品一覧!$C:$C,$B25,消耗品一覧!$E:$E,"メンテナンス")+COUNTIFS(消耗品一覧!$C:$C,$B25,消耗品一覧!$E:$E,"ベルト")</f>
        <v/>
      </c>
      <c r="I25" s="2">
        <f>COUNTIFS(消耗品一覧!$C:$C,$B25,消耗品一覧!$O:$O,"未登録")</f>
        <v/>
      </c>
      <c r="J25" s="2" t="inlineStr">
        <is>
          <t>あり</t>
        </is>
      </c>
      <c r="K25" s="3" t="inlineStr">
        <is>
          <t>C310H 各色のリサイクルトナーあり</t>
        </is>
      </c>
      <c r="L25" s="3" t="inlineStr">
        <is>
          <t>消耗品は SP C320/C341 と共通。</t>
        </is>
      </c>
      <c r="M25" s="2" t="inlineStr">
        <is>
          <t>S28</t>
        </is>
      </c>
    </row>
    <row r="26">
      <c r="A26" s="2" t="inlineStr">
        <is>
          <t>Ricoh</t>
        </is>
      </c>
      <c r="B26" s="2" t="inlineStr">
        <is>
          <t>Ricoh SP C750</t>
        </is>
      </c>
      <c r="C26" s="8" t="n">
        <v>1</v>
      </c>
      <c r="D26" s="2">
        <f>COUNTIF(消耗品一覧!$C:$C,$B26)</f>
        <v/>
      </c>
      <c r="E26" s="2">
        <f>COUNTIFS(消耗品一覧!$C:$C,$B26,消耗品一覧!$E:$E,"トナー")+COUNTIFS(消耗品一覧!$C:$C,$B26,消耗品一覧!$E:$E,"インク")</f>
        <v/>
      </c>
      <c r="F26" s="2">
        <f>COUNTIFS(消耗品一覧!$C:$C,$B26,消耗品一覧!$E:$E,"ドラム")</f>
        <v/>
      </c>
      <c r="G26" s="2">
        <f>COUNTIFS(消耗品一覧!$C:$C,$B26,消耗品一覧!$E:$E,"廃トナー")</f>
        <v/>
      </c>
      <c r="H26" s="2">
        <f>COUNTIFS(消耗品一覧!$C:$C,$B26,消耗品一覧!$E:$E,"メンテナンス")+COUNTIFS(消耗品一覧!$C:$C,$B26,消耗品一覧!$E:$E,"ベルト")</f>
        <v/>
      </c>
      <c r="I26" s="2">
        <f>COUNTIFS(消耗品一覧!$C:$C,$B26,消耗品一覧!$O:$O,"未登録")</f>
        <v/>
      </c>
      <c r="J26" s="2" t="inlineStr">
        <is>
          <t>あり</t>
        </is>
      </c>
      <c r="K26" s="3" t="inlineStr">
        <is>
          <t>C740H 各色のリサイクルトナーあり</t>
        </is>
      </c>
      <c r="L26" s="3" t="inlineStr">
        <is>
          <t>SP C751/C750 系。ドラムはカラー用とブラック用で別。</t>
        </is>
      </c>
      <c r="M26" s="2" t="inlineStr">
        <is>
          <t>S28</t>
        </is>
      </c>
    </row>
    <row r="27">
      <c r="B27" s="9" t="inlineStr">
        <is>
          <t>合計</t>
        </is>
      </c>
      <c r="C27" s="9">
        <f>SUM(C5:C26)</f>
        <v/>
      </c>
      <c r="D27" s="9">
        <f>SUM(D5:D26)</f>
        <v/>
      </c>
      <c r="E27" s="9">
        <f>SUM(E5:E26)</f>
        <v/>
      </c>
      <c r="F27" s="9">
        <f>SUM(F5:F26)</f>
        <v/>
      </c>
      <c r="G27" s="9">
        <f>SUM(G5:G26)</f>
        <v/>
      </c>
      <c r="H27" s="9">
        <f>SUM(H5:H26)</f>
        <v/>
      </c>
      <c r="I27" s="9">
        <f>SUM(I5:I26)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2" customWidth="1" min="3" max="3"/>
    <col width="8" customWidth="1" min="4" max="4"/>
    <col width="16" customWidth="1" min="5" max="5"/>
  </cols>
  <sheetData>
    <row r="1">
      <c r="A1" s="6" t="inlineStr">
        <is>
          <t>トナーマスタ（システムに登録済みの品番）</t>
        </is>
      </c>
    </row>
    <row r="2">
      <c r="A2" s="7" t="inlineStr">
        <is>
          <t>2026-08-21 時点の GET /api/toners。消耗品一覧の「台帳マスタ」列はこの A 列を COUNTIF で引いている。</t>
        </is>
      </c>
    </row>
    <row r="4">
      <c r="A4" s="1" t="inlineStr">
        <is>
          <t>トナーID</t>
        </is>
      </c>
      <c r="B4" s="1" t="inlineStr">
        <is>
          <t>トナー名</t>
        </is>
      </c>
      <c r="C4" s="1" t="inlineStr">
        <is>
          <t>色</t>
        </is>
      </c>
      <c r="D4" s="1" t="inlineStr">
        <is>
          <t>区分</t>
        </is>
      </c>
      <c r="E4" s="1" t="inlineStr">
        <is>
          <t>登録価格（税別）</t>
        </is>
      </c>
    </row>
    <row r="5">
      <c r="A5" s="10" t="inlineStr">
        <is>
          <t>KX-FAN190W</t>
        </is>
      </c>
      <c r="B5" s="10" t="inlineStr">
        <is>
          <t>KX-FAN190W（KX-FAN190W）</t>
        </is>
      </c>
      <c r="C5" s="10" t="inlineStr"/>
      <c r="D5" s="10" t="inlineStr">
        <is>
          <t>純正</t>
        </is>
      </c>
      <c r="E5" s="11" t="n">
        <v>1130</v>
      </c>
    </row>
    <row r="6">
      <c r="A6" s="10" t="inlineStr">
        <is>
          <t>HP728BBK</t>
        </is>
      </c>
      <c r="B6" s="10" t="inlineStr">
        <is>
          <t>インクカートリッジ HP728BBK（300ml）（HP 728（総務：ポスター用））</t>
        </is>
      </c>
      <c r="C6" s="10" t="inlineStr">
        <is>
          <t>ブラック</t>
        </is>
      </c>
      <c r="D6" s="10" t="inlineStr">
        <is>
          <t>純正</t>
        </is>
      </c>
      <c r="E6" s="11" t="n">
        <v>17000</v>
      </c>
    </row>
    <row r="7">
      <c r="A7" s="10" t="inlineStr">
        <is>
          <t>HP728C</t>
        </is>
      </c>
      <c r="B7" s="10" t="inlineStr">
        <is>
          <t>インクカートリッジ HP728C（130ml）（HP 728（総務：ポスター用））</t>
        </is>
      </c>
      <c r="C7" s="10" t="inlineStr">
        <is>
          <t>シアン</t>
        </is>
      </c>
      <c r="D7" s="10" t="inlineStr">
        <is>
          <t>純正</t>
        </is>
      </c>
      <c r="E7" s="11" t="n">
        <v>9100</v>
      </c>
    </row>
    <row r="8">
      <c r="A8" s="10" t="inlineStr">
        <is>
          <t>HP728M</t>
        </is>
      </c>
      <c r="B8" s="10" t="inlineStr">
        <is>
          <t>インクカートリッジ HP728M（130ml）（HP 728（総務：ポスター用））</t>
        </is>
      </c>
      <c r="C8" s="10" t="inlineStr">
        <is>
          <t>マゼンタ</t>
        </is>
      </c>
      <c r="D8" s="10" t="inlineStr">
        <is>
          <t>純正</t>
        </is>
      </c>
      <c r="E8" s="11" t="n">
        <v>9100</v>
      </c>
    </row>
    <row r="9">
      <c r="A9" s="10" t="inlineStr">
        <is>
          <t>HP728Y</t>
        </is>
      </c>
      <c r="B9" s="10" t="inlineStr">
        <is>
          <t>インクカートリッジ HP728Y（130ml）（HP 728（総務：ポスター用））</t>
        </is>
      </c>
      <c r="C9" s="10" t="inlineStr">
        <is>
          <t>イエロー</t>
        </is>
      </c>
      <c r="D9" s="10" t="inlineStr">
        <is>
          <t>純正</t>
        </is>
      </c>
      <c r="E9" s="11" t="n">
        <v>9100</v>
      </c>
    </row>
    <row r="10">
      <c r="A10" s="10" t="inlineStr">
        <is>
          <t>IB09CB</t>
        </is>
      </c>
      <c r="B10" s="10" t="inlineStr">
        <is>
          <t>インクカートリッジ IB09CB（PX-S730）</t>
        </is>
      </c>
      <c r="C10" s="10" t="inlineStr">
        <is>
          <t>シアン</t>
        </is>
      </c>
      <c r="D10" s="10" t="inlineStr">
        <is>
          <t>純正</t>
        </is>
      </c>
      <c r="E10" s="11" t="n">
        <v>1100</v>
      </c>
    </row>
    <row r="11">
      <c r="A11" s="10" t="inlineStr">
        <is>
          <t>IB09CL4B</t>
        </is>
      </c>
      <c r="B11" s="10" t="inlineStr">
        <is>
          <t>インクカートリッジ IB09CL4B（PX-S730）</t>
        </is>
      </c>
      <c r="C11" s="10" t="inlineStr">
        <is>
          <t>4色パック</t>
        </is>
      </c>
      <c r="D11" s="10" t="inlineStr">
        <is>
          <t>純正</t>
        </is>
      </c>
      <c r="E11" s="11" t="n">
        <v>7200</v>
      </c>
    </row>
    <row r="12">
      <c r="A12" s="10" t="inlineStr">
        <is>
          <t>IB09KB</t>
        </is>
      </c>
      <c r="B12" s="10" t="inlineStr">
        <is>
          <t>インクカートリッジ IB09KB（PX-S730）</t>
        </is>
      </c>
      <c r="C12" s="10" t="inlineStr">
        <is>
          <t>ブラック</t>
        </is>
      </c>
      <c r="D12" s="10" t="inlineStr">
        <is>
          <t>純正</t>
        </is>
      </c>
      <c r="E12" s="11" t="n">
        <v>2400</v>
      </c>
    </row>
    <row r="13">
      <c r="A13" s="10" t="inlineStr">
        <is>
          <t>IB09MB</t>
        </is>
      </c>
      <c r="B13" s="10" t="inlineStr">
        <is>
          <t>インクカートリッジ IB09MB（PX-S730）</t>
        </is>
      </c>
      <c r="C13" s="10" t="inlineStr">
        <is>
          <t>マゼンタ</t>
        </is>
      </c>
      <c r="D13" s="10" t="inlineStr">
        <is>
          <t>純正</t>
        </is>
      </c>
      <c r="E13" s="11" t="n">
        <v>1100</v>
      </c>
    </row>
    <row r="14">
      <c r="A14" s="10" t="inlineStr">
        <is>
          <t>IB09YB</t>
        </is>
      </c>
      <c r="B14" s="10" t="inlineStr">
        <is>
          <t>インクカートリッジ IB09YB（PX-S730）</t>
        </is>
      </c>
      <c r="C14" s="10" t="inlineStr">
        <is>
          <t>イエロー</t>
        </is>
      </c>
      <c r="D14" s="10" t="inlineStr">
        <is>
          <t>純正</t>
        </is>
      </c>
      <c r="E14" s="11" t="n">
        <v>1100</v>
      </c>
    </row>
    <row r="15">
      <c r="A15" s="10" t="inlineStr">
        <is>
          <t>IB10CA</t>
        </is>
      </c>
      <c r="B15" s="10" t="inlineStr">
        <is>
          <t>インクカートリッジ IB10CA（EW-M530F）</t>
        </is>
      </c>
      <c r="C15" s="10" t="inlineStr">
        <is>
          <t>シアン</t>
        </is>
      </c>
      <c r="D15" s="10" t="inlineStr">
        <is>
          <t>再生</t>
        </is>
      </c>
      <c r="E15" s="11" t="n">
        <v>900</v>
      </c>
    </row>
    <row r="16">
      <c r="A16" s="10" t="inlineStr">
        <is>
          <t>IB10CL4A</t>
        </is>
      </c>
      <c r="B16" s="10" t="inlineStr">
        <is>
          <t>インクカートリッジ IB10CL4A（EW-M530F）</t>
        </is>
      </c>
      <c r="C16" s="10" t="inlineStr">
        <is>
          <t>4色パック</t>
        </is>
      </c>
      <c r="D16" s="10" t="inlineStr">
        <is>
          <t>再生</t>
        </is>
      </c>
      <c r="E16" s="11" t="n">
        <v>4900</v>
      </c>
    </row>
    <row r="17">
      <c r="A17" s="10" t="inlineStr">
        <is>
          <t>IB10KA</t>
        </is>
      </c>
      <c r="B17" s="10" t="inlineStr">
        <is>
          <t>インクカートリッジ IB10KA（EW-M530F）</t>
        </is>
      </c>
      <c r="C17" s="10" t="inlineStr">
        <is>
          <t>ブラック</t>
        </is>
      </c>
      <c r="D17" s="10" t="inlineStr">
        <is>
          <t>再生</t>
        </is>
      </c>
      <c r="E17" s="11" t="n">
        <v>2500</v>
      </c>
    </row>
    <row r="18">
      <c r="A18" s="10" t="inlineStr">
        <is>
          <t>IB10MA</t>
        </is>
      </c>
      <c r="B18" s="10" t="inlineStr">
        <is>
          <t>インクカートリッジ IB10MA（EW-M530F）</t>
        </is>
      </c>
      <c r="C18" s="10" t="inlineStr">
        <is>
          <t>マゼンタ</t>
        </is>
      </c>
      <c r="D18" s="10" t="inlineStr">
        <is>
          <t>再生</t>
        </is>
      </c>
      <c r="E18" s="11" t="n">
        <v>900</v>
      </c>
    </row>
    <row r="19">
      <c r="A19" s="10" t="inlineStr">
        <is>
          <t>IB10YA</t>
        </is>
      </c>
      <c r="B19" s="10" t="inlineStr">
        <is>
          <t>インクカートリッジ IB10YA（EW-M530F）</t>
        </is>
      </c>
      <c r="C19" s="10" t="inlineStr">
        <is>
          <t>イエロー</t>
        </is>
      </c>
      <c r="D19" s="10" t="inlineStr">
        <is>
          <t>再生</t>
        </is>
      </c>
      <c r="E19" s="11" t="n">
        <v>900</v>
      </c>
    </row>
    <row r="20">
      <c r="A20" s="10" t="inlineStr">
        <is>
          <t>IC4CL69</t>
        </is>
      </c>
      <c r="B20" s="10" t="inlineStr">
        <is>
          <t>インクカートリッジ IC4CL69（糖内科（リブレ用））</t>
        </is>
      </c>
      <c r="C20" s="10" t="inlineStr">
        <is>
          <t>4色パック</t>
        </is>
      </c>
      <c r="D20" s="10" t="inlineStr">
        <is>
          <t>純正</t>
        </is>
      </c>
      <c r="E20" s="11" t="n">
        <v>2150</v>
      </c>
    </row>
    <row r="21">
      <c r="A21" s="10" t="inlineStr">
        <is>
          <t>ICBK50</t>
        </is>
      </c>
      <c r="B21" s="10" t="inlineStr">
        <is>
          <t>インクカートリッジ ICBK50（リハビリ：コピー用）</t>
        </is>
      </c>
      <c r="C21" s="10" t="inlineStr">
        <is>
          <t>ブラック</t>
        </is>
      </c>
      <c r="D21" s="10" t="inlineStr">
        <is>
          <t>純正</t>
        </is>
      </c>
      <c r="E21" s="11" t="n"/>
    </row>
    <row r="22">
      <c r="A22" s="10" t="inlineStr">
        <is>
          <t>ICBK61</t>
        </is>
      </c>
      <c r="B22" s="10" t="inlineStr">
        <is>
          <t>インクカートリッジ ICBK61（PX205）</t>
        </is>
      </c>
      <c r="C22" s="10" t="inlineStr">
        <is>
          <t>ブラック</t>
        </is>
      </c>
      <c r="D22" s="10" t="inlineStr">
        <is>
          <t>再生</t>
        </is>
      </c>
      <c r="E22" s="11" t="n">
        <v>1000</v>
      </c>
    </row>
    <row r="23">
      <c r="A23" s="10" t="inlineStr">
        <is>
          <t>ICBK62</t>
        </is>
      </c>
      <c r="B23" s="10" t="inlineStr">
        <is>
          <t>インクカートリッジ ICBK62（PX205）</t>
        </is>
      </c>
      <c r="C23" s="10" t="inlineStr">
        <is>
          <t>ブラック</t>
        </is>
      </c>
      <c r="D23" s="10" t="inlineStr">
        <is>
          <t>再生</t>
        </is>
      </c>
      <c r="E23" s="11" t="n">
        <v>640</v>
      </c>
    </row>
    <row r="24">
      <c r="A24" s="10" t="inlineStr">
        <is>
          <t>ICBK69L</t>
        </is>
      </c>
      <c r="B24" s="10" t="inlineStr">
        <is>
          <t>インクカートリッジ ICBK69L（糖内科（リブレ用））</t>
        </is>
      </c>
      <c r="C24" s="10" t="inlineStr">
        <is>
          <t>ブラック</t>
        </is>
      </c>
      <c r="D24" s="10" t="inlineStr">
        <is>
          <t>純正</t>
        </is>
      </c>
      <c r="E24" s="11" t="n">
        <v>930</v>
      </c>
    </row>
    <row r="25">
      <c r="A25" s="10" t="inlineStr">
        <is>
          <t>ICBK75</t>
        </is>
      </c>
      <c r="B25" s="10" t="inlineStr">
        <is>
          <t>インクカートリッジ ICBK75（PX-S740）</t>
        </is>
      </c>
      <c r="C25" s="10" t="inlineStr">
        <is>
          <t>ブラック</t>
        </is>
      </c>
      <c r="D25" s="10" t="inlineStr">
        <is>
          <t>再生</t>
        </is>
      </c>
      <c r="E25" s="11" t="n">
        <v>2000</v>
      </c>
    </row>
    <row r="26">
      <c r="A26" s="10" t="inlineStr">
        <is>
          <t>ICBK84</t>
        </is>
      </c>
      <c r="B26" s="10" t="inlineStr">
        <is>
          <t>インクカートリッジ ICBK84（PX-M780F）</t>
        </is>
      </c>
      <c r="C26" s="10" t="inlineStr">
        <is>
          <t>ブラック</t>
        </is>
      </c>
      <c r="D26" s="10" t="inlineStr">
        <is>
          <t>再生</t>
        </is>
      </c>
      <c r="E26" s="11" t="n">
        <v>1880</v>
      </c>
    </row>
    <row r="27">
      <c r="A27" s="10" t="inlineStr">
        <is>
          <t>ICC50</t>
        </is>
      </c>
      <c r="B27" s="10" t="inlineStr">
        <is>
          <t>インクカートリッジ ICC50（リハビリ：コピー用）</t>
        </is>
      </c>
      <c r="C27" s="10" t="inlineStr">
        <is>
          <t>シアン</t>
        </is>
      </c>
      <c r="D27" s="10" t="inlineStr">
        <is>
          <t>純正</t>
        </is>
      </c>
      <c r="E27" s="11" t="n"/>
    </row>
    <row r="28">
      <c r="A28" s="10" t="inlineStr">
        <is>
          <t>ICC62</t>
        </is>
      </c>
      <c r="B28" s="10" t="inlineStr">
        <is>
          <t>インクカートリッジ ICC62（PX205）</t>
        </is>
      </c>
      <c r="C28" s="10" t="inlineStr">
        <is>
          <t>シアン</t>
        </is>
      </c>
      <c r="D28" s="10" t="inlineStr">
        <is>
          <t>再生</t>
        </is>
      </c>
      <c r="E28" s="11" t="n">
        <v>550</v>
      </c>
    </row>
    <row r="29">
      <c r="A29" s="10" t="inlineStr">
        <is>
          <t>ICC69</t>
        </is>
      </c>
      <c r="B29" s="10" t="inlineStr">
        <is>
          <t>インクカートリッジ ICC69（糖内科（リブレ用））</t>
        </is>
      </c>
      <c r="C29" s="10" t="inlineStr">
        <is>
          <t>シアン</t>
        </is>
      </c>
      <c r="D29" s="10" t="inlineStr">
        <is>
          <t>純正</t>
        </is>
      </c>
      <c r="E29" s="11" t="n">
        <v>580</v>
      </c>
    </row>
    <row r="30">
      <c r="A30" s="10" t="inlineStr">
        <is>
          <t>ICC74</t>
        </is>
      </c>
      <c r="B30" s="10" t="inlineStr">
        <is>
          <t>インクカートリッジ ICC74（PX-S740）</t>
        </is>
      </c>
      <c r="C30" s="10" t="inlineStr">
        <is>
          <t>シアン</t>
        </is>
      </c>
      <c r="D30" s="10" t="inlineStr">
        <is>
          <t>再生</t>
        </is>
      </c>
      <c r="E30" s="11" t="n">
        <v>580</v>
      </c>
    </row>
    <row r="31">
      <c r="A31" s="10" t="inlineStr">
        <is>
          <t>ICC84</t>
        </is>
      </c>
      <c r="B31" s="10" t="inlineStr">
        <is>
          <t>インクカートリッジ ICC84（PX-M780F）</t>
        </is>
      </c>
      <c r="C31" s="10" t="inlineStr">
        <is>
          <t>シアン</t>
        </is>
      </c>
      <c r="D31" s="10" t="inlineStr">
        <is>
          <t>再生</t>
        </is>
      </c>
      <c r="E31" s="11" t="n">
        <v>1280</v>
      </c>
    </row>
    <row r="32">
      <c r="A32" s="10" t="inlineStr">
        <is>
          <t>ICLC50</t>
        </is>
      </c>
      <c r="B32" s="10" t="inlineStr">
        <is>
          <t>インクカートリッジ ICLC50（リハビリ：コピー用）</t>
        </is>
      </c>
      <c r="C32" s="10" t="inlineStr">
        <is>
          <t>ライトシアン</t>
        </is>
      </c>
      <c r="D32" s="10" t="inlineStr">
        <is>
          <t>純正</t>
        </is>
      </c>
      <c r="E32" s="11" t="n"/>
    </row>
    <row r="33">
      <c r="A33" s="10" t="inlineStr">
        <is>
          <t>ICLM50</t>
        </is>
      </c>
      <c r="B33" s="10" t="inlineStr">
        <is>
          <t>インクカートリッジ ICLM50（リハビリ：コピー用）</t>
        </is>
      </c>
      <c r="C33" s="10" t="inlineStr">
        <is>
          <t>ライトマゼンタ</t>
        </is>
      </c>
      <c r="D33" s="10" t="inlineStr">
        <is>
          <t>純正</t>
        </is>
      </c>
      <c r="E33" s="11" t="n"/>
    </row>
    <row r="34">
      <c r="A34" s="10" t="inlineStr">
        <is>
          <t>ICM50</t>
        </is>
      </c>
      <c r="B34" s="10" t="inlineStr">
        <is>
          <t>インクカートリッジ ICM50（リハビリ：コピー用）</t>
        </is>
      </c>
      <c r="C34" s="10" t="inlineStr">
        <is>
          <t>マゼンタ</t>
        </is>
      </c>
      <c r="D34" s="10" t="inlineStr">
        <is>
          <t>純正</t>
        </is>
      </c>
      <c r="E34" s="11" t="n"/>
    </row>
    <row r="35">
      <c r="A35" s="10" t="inlineStr">
        <is>
          <t>ICM62</t>
        </is>
      </c>
      <c r="B35" s="10" t="inlineStr">
        <is>
          <t>インクカートリッジ ICM62（PX205）</t>
        </is>
      </c>
      <c r="C35" s="10" t="inlineStr">
        <is>
          <t>マゼンタ</t>
        </is>
      </c>
      <c r="D35" s="10" t="inlineStr">
        <is>
          <t>再生</t>
        </is>
      </c>
      <c r="E35" s="11" t="n">
        <v>550</v>
      </c>
    </row>
    <row r="36">
      <c r="A36" s="10" t="inlineStr">
        <is>
          <t>ICM69</t>
        </is>
      </c>
      <c r="B36" s="10" t="inlineStr">
        <is>
          <t>インクカートリッジ ICM69（糖内科（リブレ用））</t>
        </is>
      </c>
      <c r="C36" s="10" t="inlineStr">
        <is>
          <t>マゼンタ</t>
        </is>
      </c>
      <c r="D36" s="10" t="inlineStr">
        <is>
          <t>純正</t>
        </is>
      </c>
      <c r="E36" s="11" t="n">
        <v>580</v>
      </c>
    </row>
    <row r="37">
      <c r="A37" s="10" t="inlineStr">
        <is>
          <t>ICM74</t>
        </is>
      </c>
      <c r="B37" s="10" t="inlineStr">
        <is>
          <t>インクカートリッジ ICM74（PX-S740）</t>
        </is>
      </c>
      <c r="C37" s="10" t="inlineStr">
        <is>
          <t>マゼンタ</t>
        </is>
      </c>
      <c r="D37" s="10" t="inlineStr">
        <is>
          <t>再生</t>
        </is>
      </c>
      <c r="E37" s="11" t="n">
        <v>580</v>
      </c>
    </row>
    <row r="38">
      <c r="A38" s="10" t="inlineStr">
        <is>
          <t>ICM84</t>
        </is>
      </c>
      <c r="B38" s="10" t="inlineStr">
        <is>
          <t>インクカートリッジ ICM84（PX-M780F）</t>
        </is>
      </c>
      <c r="C38" s="10" t="inlineStr">
        <is>
          <t>マゼンタ</t>
        </is>
      </c>
      <c r="D38" s="10" t="inlineStr">
        <is>
          <t>再生</t>
        </is>
      </c>
      <c r="E38" s="11" t="n">
        <v>1280</v>
      </c>
    </row>
    <row r="39">
      <c r="A39" s="10" t="inlineStr">
        <is>
          <t>ICY50</t>
        </is>
      </c>
      <c r="B39" s="10" t="inlineStr">
        <is>
          <t>インクカートリッジ ICY50（リハビリ：コピー用）</t>
        </is>
      </c>
      <c r="C39" s="10" t="inlineStr">
        <is>
          <t>イエロー</t>
        </is>
      </c>
      <c r="D39" s="10" t="inlineStr">
        <is>
          <t>純正</t>
        </is>
      </c>
      <c r="E39" s="11" t="n"/>
    </row>
    <row r="40">
      <c r="A40" s="10" t="inlineStr">
        <is>
          <t>ICY62</t>
        </is>
      </c>
      <c r="B40" s="10" t="inlineStr">
        <is>
          <t>インクカートリッジ ICY62（PX205）</t>
        </is>
      </c>
      <c r="C40" s="10" t="inlineStr">
        <is>
          <t>イエロー</t>
        </is>
      </c>
      <c r="D40" s="10" t="inlineStr">
        <is>
          <t>再生</t>
        </is>
      </c>
      <c r="E40" s="11" t="n">
        <v>550</v>
      </c>
    </row>
    <row r="41">
      <c r="A41" s="10" t="inlineStr">
        <is>
          <t>ICY69</t>
        </is>
      </c>
      <c r="B41" s="10" t="inlineStr">
        <is>
          <t>インクカートリッジ ICY69（糖内科（リブレ用））</t>
        </is>
      </c>
      <c r="C41" s="10" t="inlineStr">
        <is>
          <t>イエロー</t>
        </is>
      </c>
      <c r="D41" s="10" t="inlineStr">
        <is>
          <t>純正</t>
        </is>
      </c>
      <c r="E41" s="11" t="n">
        <v>580</v>
      </c>
    </row>
    <row r="42">
      <c r="A42" s="10" t="inlineStr">
        <is>
          <t>ICY74</t>
        </is>
      </c>
      <c r="B42" s="10" t="inlineStr">
        <is>
          <t>インクカートリッジ ICY74（PX-S740）</t>
        </is>
      </c>
      <c r="C42" s="10" t="inlineStr">
        <is>
          <t>イエロー</t>
        </is>
      </c>
      <c r="D42" s="10" t="inlineStr">
        <is>
          <t>再生</t>
        </is>
      </c>
      <c r="E42" s="11" t="n">
        <v>580</v>
      </c>
    </row>
    <row r="43">
      <c r="A43" s="10" t="inlineStr">
        <is>
          <t>ICY84</t>
        </is>
      </c>
      <c r="B43" s="10" t="inlineStr">
        <is>
          <t>インクカートリッジ ICY84（PX-M780F）</t>
        </is>
      </c>
      <c r="C43" s="10" t="inlineStr">
        <is>
          <t>イエロー</t>
        </is>
      </c>
      <c r="D43" s="10" t="inlineStr">
        <is>
          <t>再生</t>
        </is>
      </c>
      <c r="E43" s="11" t="n">
        <v>1280</v>
      </c>
    </row>
    <row r="44">
      <c r="A44" s="10" t="inlineStr">
        <is>
          <t>IP04KA</t>
        </is>
      </c>
      <c r="B44" s="10" t="inlineStr">
        <is>
          <t>インクカートリッジ IP04KA（PX-S381）</t>
        </is>
      </c>
      <c r="C44" s="10" t="inlineStr">
        <is>
          <t>ブラック</t>
        </is>
      </c>
      <c r="D44" s="10" t="inlineStr">
        <is>
          <t>純正</t>
        </is>
      </c>
      <c r="E44" s="11" t="n">
        <v>20000</v>
      </c>
    </row>
    <row r="45">
      <c r="A45" s="10" t="inlineStr">
        <is>
          <t>IT08CA</t>
        </is>
      </c>
      <c r="B45" s="10" t="inlineStr">
        <is>
          <t>インクカートリッジ IT08CA（PX-M791FT）</t>
        </is>
      </c>
      <c r="C45" s="10" t="inlineStr">
        <is>
          <t>シアン</t>
        </is>
      </c>
      <c r="D45" s="10" t="inlineStr">
        <is>
          <t>再生</t>
        </is>
      </c>
      <c r="E45" s="11" t="n">
        <v>2200</v>
      </c>
    </row>
    <row r="46">
      <c r="A46" s="10" t="inlineStr">
        <is>
          <t>IT08KA</t>
        </is>
      </c>
      <c r="B46" s="10" t="inlineStr">
        <is>
          <t>インクカートリッジ IT08KA（PX-M791FT）</t>
        </is>
      </c>
      <c r="C46" s="10" t="inlineStr">
        <is>
          <t>ブラック</t>
        </is>
      </c>
      <c r="D46" s="10" t="inlineStr">
        <is>
          <t>再生</t>
        </is>
      </c>
      <c r="E46" s="11" t="n">
        <v>4300</v>
      </c>
    </row>
    <row r="47">
      <c r="A47" s="10" t="inlineStr">
        <is>
          <t>IT08MA</t>
        </is>
      </c>
      <c r="B47" s="10" t="inlineStr">
        <is>
          <t>インクカートリッジ IT08MA（PX-M791FT）</t>
        </is>
      </c>
      <c r="C47" s="10" t="inlineStr">
        <is>
          <t>マゼンタ</t>
        </is>
      </c>
      <c r="D47" s="10" t="inlineStr">
        <is>
          <t>再生</t>
        </is>
      </c>
      <c r="E47" s="11" t="n">
        <v>2200</v>
      </c>
    </row>
    <row r="48">
      <c r="A48" s="10" t="inlineStr">
        <is>
          <t>IT08YA</t>
        </is>
      </c>
      <c r="B48" s="10" t="inlineStr">
        <is>
          <t>インクカートリッジ IT08YA（PX-M791FT）</t>
        </is>
      </c>
      <c r="C48" s="10" t="inlineStr">
        <is>
          <t>イエロー</t>
        </is>
      </c>
      <c r="D48" s="10" t="inlineStr">
        <is>
          <t>再生</t>
        </is>
      </c>
      <c r="E48" s="11" t="n">
        <v>2200</v>
      </c>
    </row>
    <row r="49">
      <c r="A49" s="10" t="inlineStr">
        <is>
          <t>ITH-6CL</t>
        </is>
      </c>
      <c r="B49" s="10" t="inlineStr">
        <is>
          <t>インクカートリッジ ITH-6CL（手術室：滅菌機メンテナンス用）</t>
        </is>
      </c>
      <c r="C49" s="10" t="inlineStr">
        <is>
          <t>6色パック</t>
        </is>
      </c>
      <c r="D49" s="10" t="inlineStr">
        <is>
          <t>再生</t>
        </is>
      </c>
      <c r="E49" s="11" t="n">
        <v>2900</v>
      </c>
    </row>
    <row r="50">
      <c r="A50" s="10" t="inlineStr">
        <is>
          <t>ITH-BK</t>
        </is>
      </c>
      <c r="B50" s="10" t="inlineStr">
        <is>
          <t>インクカートリッジ ITH-BK（手術室：滅菌機メンテナンス用）</t>
        </is>
      </c>
      <c r="C50" s="10" t="inlineStr">
        <is>
          <t>ブラック</t>
        </is>
      </c>
      <c r="D50" s="10" t="inlineStr">
        <is>
          <t>再生</t>
        </is>
      </c>
      <c r="E50" s="11" t="n">
        <v>500</v>
      </c>
    </row>
    <row r="51">
      <c r="A51" s="10" t="inlineStr">
        <is>
          <t>ITH-C</t>
        </is>
      </c>
      <c r="B51" s="10" t="inlineStr">
        <is>
          <t>インクカートリッジ ITH-C（手術室：滅菌機メンテナンス用）</t>
        </is>
      </c>
      <c r="C51" s="10" t="inlineStr">
        <is>
          <t>シアン</t>
        </is>
      </c>
      <c r="D51" s="10" t="inlineStr">
        <is>
          <t>再生</t>
        </is>
      </c>
      <c r="E51" s="11" t="n">
        <v>500</v>
      </c>
    </row>
    <row r="52">
      <c r="A52" s="10" t="inlineStr">
        <is>
          <t>ITH-LC</t>
        </is>
      </c>
      <c r="B52" s="10" t="inlineStr">
        <is>
          <t>インクカートリッジ ITH-LC（手術室：滅菌機メンテナンス用）</t>
        </is>
      </c>
      <c r="C52" s="10" t="inlineStr">
        <is>
          <t>ライトシアン</t>
        </is>
      </c>
      <c r="D52" s="10" t="inlineStr">
        <is>
          <t>再生</t>
        </is>
      </c>
      <c r="E52" s="11" t="n">
        <v>500</v>
      </c>
    </row>
    <row r="53">
      <c r="A53" s="10" t="inlineStr">
        <is>
          <t>ITH-LM</t>
        </is>
      </c>
      <c r="B53" s="10" t="inlineStr">
        <is>
          <t>インクカートリッジ ITH-LM（手術室：滅菌機メンテナンス用）</t>
        </is>
      </c>
      <c r="C53" s="10" t="inlineStr">
        <is>
          <t>ライトマゼンタ</t>
        </is>
      </c>
      <c r="D53" s="10" t="inlineStr">
        <is>
          <t>再生</t>
        </is>
      </c>
      <c r="E53" s="11" t="n">
        <v>500</v>
      </c>
    </row>
    <row r="54">
      <c r="A54" s="10" t="inlineStr">
        <is>
          <t>ITH-M</t>
        </is>
      </c>
      <c r="B54" s="10" t="inlineStr">
        <is>
          <t>インクカートリッジ ITH-M（手術室：滅菌機メンテナンス用）</t>
        </is>
      </c>
      <c r="C54" s="10" t="inlineStr">
        <is>
          <t>マゼンタ</t>
        </is>
      </c>
      <c r="D54" s="10" t="inlineStr">
        <is>
          <t>再生</t>
        </is>
      </c>
      <c r="E54" s="11" t="n">
        <v>500</v>
      </c>
    </row>
    <row r="55">
      <c r="A55" s="10" t="inlineStr">
        <is>
          <t>ITH-Y</t>
        </is>
      </c>
      <c r="B55" s="10" t="inlineStr">
        <is>
          <t>インクカートリッジ ITH-Y（手術室：滅菌機メンテナンス用）</t>
        </is>
      </c>
      <c r="C55" s="10" t="inlineStr">
        <is>
          <t>イエロー</t>
        </is>
      </c>
      <c r="D55" s="10" t="inlineStr">
        <is>
          <t>再生</t>
        </is>
      </c>
      <c r="E55" s="11" t="n">
        <v>500</v>
      </c>
    </row>
    <row r="56">
      <c r="A56" s="10" t="inlineStr">
        <is>
          <t>PJIC7C</t>
        </is>
      </c>
      <c r="B56" s="10" t="inlineStr">
        <is>
          <t>インクカートリッジ PJIC7C（PP-100II）</t>
        </is>
      </c>
      <c r="C56" s="10" t="inlineStr">
        <is>
          <t>シアン</t>
        </is>
      </c>
      <c r="D56" s="10" t="inlineStr">
        <is>
          <t>純正</t>
        </is>
      </c>
      <c r="E56" s="11" t="n">
        <v>4290</v>
      </c>
    </row>
    <row r="57">
      <c r="A57" s="10" t="inlineStr">
        <is>
          <t>PJIC7K</t>
        </is>
      </c>
      <c r="B57" s="10" t="inlineStr">
        <is>
          <t>インクカートリッジ PJIC7K（PP-100II）</t>
        </is>
      </c>
      <c r="C57" s="10" t="inlineStr">
        <is>
          <t>ブラック</t>
        </is>
      </c>
      <c r="D57" s="10" t="inlineStr">
        <is>
          <t>純正</t>
        </is>
      </c>
      <c r="E57" s="11" t="n">
        <v>4290</v>
      </c>
    </row>
    <row r="58">
      <c r="A58" s="10" t="inlineStr">
        <is>
          <t>PJIC7LC</t>
        </is>
      </c>
      <c r="B58" s="10" t="inlineStr">
        <is>
          <t>インクカートリッジ PJIC7LC（PP-100II）</t>
        </is>
      </c>
      <c r="C58" s="10" t="inlineStr">
        <is>
          <t>ライトシアン</t>
        </is>
      </c>
      <c r="D58" s="10" t="inlineStr">
        <is>
          <t>純正</t>
        </is>
      </c>
      <c r="E58" s="11" t="n">
        <v>4290</v>
      </c>
    </row>
    <row r="59">
      <c r="A59" s="10" t="inlineStr">
        <is>
          <t>PJIC7LM</t>
        </is>
      </c>
      <c r="B59" s="10" t="inlineStr">
        <is>
          <t>インクカートリッジ PJIC7LM（PP-100II）</t>
        </is>
      </c>
      <c r="C59" s="10" t="inlineStr">
        <is>
          <t>ライトマゼンタ</t>
        </is>
      </c>
      <c r="D59" s="10" t="inlineStr">
        <is>
          <t>純正</t>
        </is>
      </c>
      <c r="E59" s="11" t="n">
        <v>4290</v>
      </c>
    </row>
    <row r="60">
      <c r="A60" s="10" t="inlineStr">
        <is>
          <t>PJIC7M</t>
        </is>
      </c>
      <c r="B60" s="10" t="inlineStr">
        <is>
          <t>インクカートリッジ PJIC7M（PP-100II）</t>
        </is>
      </c>
      <c r="C60" s="10" t="inlineStr">
        <is>
          <t>マゼンタ</t>
        </is>
      </c>
      <c r="D60" s="10" t="inlineStr">
        <is>
          <t>純正</t>
        </is>
      </c>
      <c r="E60" s="11" t="n">
        <v>4290</v>
      </c>
    </row>
    <row r="61">
      <c r="A61" s="10" t="inlineStr">
        <is>
          <t>PJIC7Y</t>
        </is>
      </c>
      <c r="B61" s="10" t="inlineStr">
        <is>
          <t>インクカートリッジ PJIC7Y（PP-100II）</t>
        </is>
      </c>
      <c r="C61" s="10" t="inlineStr">
        <is>
          <t>イエロー</t>
        </is>
      </c>
      <c r="D61" s="10" t="inlineStr">
        <is>
          <t>純正</t>
        </is>
      </c>
      <c r="E61" s="11" t="n">
        <v>4290</v>
      </c>
    </row>
    <row r="62">
      <c r="A62" s="10" t="inlineStr">
        <is>
          <t>054H-BK</t>
        </is>
      </c>
      <c r="B62" s="10" t="inlineStr">
        <is>
          <t>トナーカートリッジ 054H（MF644Cdw）</t>
        </is>
      </c>
      <c r="C62" s="10" t="inlineStr">
        <is>
          <t>ブラック</t>
        </is>
      </c>
      <c r="D62" s="10" t="inlineStr">
        <is>
          <t>純正</t>
        </is>
      </c>
      <c r="E62" s="11" t="n">
        <v>9600</v>
      </c>
    </row>
    <row r="63">
      <c r="A63" s="10" t="inlineStr">
        <is>
          <t>054H-C</t>
        </is>
      </c>
      <c r="B63" s="10" t="inlineStr">
        <is>
          <t>トナーカートリッジ 054H（MF644Cdw）</t>
        </is>
      </c>
      <c r="C63" s="10" t="inlineStr">
        <is>
          <t>シアン</t>
        </is>
      </c>
      <c r="D63" s="10" t="inlineStr">
        <is>
          <t>純正</t>
        </is>
      </c>
      <c r="E63" s="11" t="n">
        <v>10160</v>
      </c>
    </row>
    <row r="64">
      <c r="A64" s="10" t="inlineStr">
        <is>
          <t>054H-M</t>
        </is>
      </c>
      <c r="B64" s="10" t="inlineStr">
        <is>
          <t>トナーカートリッジ 054H（MF644Cdw）</t>
        </is>
      </c>
      <c r="C64" s="10" t="inlineStr">
        <is>
          <t>マゼンタ</t>
        </is>
      </c>
      <c r="D64" s="10" t="inlineStr">
        <is>
          <t>純正</t>
        </is>
      </c>
      <c r="E64" s="11" t="n">
        <v>10160</v>
      </c>
    </row>
    <row r="65">
      <c r="A65" s="10" t="inlineStr">
        <is>
          <t>054H-Y</t>
        </is>
      </c>
      <c r="B65" s="10" t="inlineStr">
        <is>
          <t>トナーカートリッジ 054H（MF644Cdw）</t>
        </is>
      </c>
      <c r="C65" s="10" t="inlineStr">
        <is>
          <t>イエロー</t>
        </is>
      </c>
      <c r="D65" s="10" t="inlineStr">
        <is>
          <t>純正</t>
        </is>
      </c>
      <c r="E65" s="11" t="n">
        <v>10160</v>
      </c>
    </row>
    <row r="66">
      <c r="A66" s="10" t="inlineStr">
        <is>
          <t>BCI-380XLPGBK</t>
        </is>
      </c>
      <c r="B66" s="10" t="inlineStr">
        <is>
          <t>トナーカートリッジ BCI-380XLPGBK（TR703a）</t>
        </is>
      </c>
      <c r="C66" s="10" t="inlineStr">
        <is>
          <t>ブラック</t>
        </is>
      </c>
      <c r="D66" s="10" t="inlineStr">
        <is>
          <t>再生</t>
        </is>
      </c>
      <c r="E66" s="11" t="n">
        <v>1300</v>
      </c>
    </row>
    <row r="67">
      <c r="A67" s="10" t="inlineStr">
        <is>
          <t>BCI-381XLBK</t>
        </is>
      </c>
      <c r="B67" s="10" t="inlineStr">
        <is>
          <t>トナーカートリッジ BCI-381XLBK（TR703a）</t>
        </is>
      </c>
      <c r="C67" s="10" t="inlineStr">
        <is>
          <t>ブラック</t>
        </is>
      </c>
      <c r="D67" s="10" t="inlineStr">
        <is>
          <t>再生</t>
        </is>
      </c>
      <c r="E67" s="11" t="n">
        <v>1300</v>
      </c>
    </row>
    <row r="68">
      <c r="A68" s="10" t="inlineStr">
        <is>
          <t>BCI-381XLC</t>
        </is>
      </c>
      <c r="B68" s="10" t="inlineStr">
        <is>
          <t>トナーカートリッジ BCI-381XLC（TR703a）</t>
        </is>
      </c>
      <c r="C68" s="10" t="inlineStr">
        <is>
          <t>シアン</t>
        </is>
      </c>
      <c r="D68" s="10" t="inlineStr">
        <is>
          <t>再生</t>
        </is>
      </c>
      <c r="E68" s="11" t="n">
        <v>1300</v>
      </c>
    </row>
    <row r="69">
      <c r="A69" s="10" t="inlineStr">
        <is>
          <t>BCI-381XLM</t>
        </is>
      </c>
      <c r="B69" s="10" t="inlineStr">
        <is>
          <t>トナーカートリッジ BCI-381XLM（TR703a）</t>
        </is>
      </c>
      <c r="C69" s="10" t="inlineStr">
        <is>
          <t>マゼンタ</t>
        </is>
      </c>
      <c r="D69" s="10" t="inlineStr">
        <is>
          <t>再生</t>
        </is>
      </c>
      <c r="E69" s="11" t="n">
        <v>1300</v>
      </c>
    </row>
    <row r="70">
      <c r="A70" s="10" t="inlineStr">
        <is>
          <t>BCI-381XLY</t>
        </is>
      </c>
      <c r="B70" s="10" t="inlineStr">
        <is>
          <t>トナーカートリッジ BCI-381XLY（TR703a）</t>
        </is>
      </c>
      <c r="C70" s="10" t="inlineStr">
        <is>
          <t>イエロー</t>
        </is>
      </c>
      <c r="D70" s="10" t="inlineStr">
        <is>
          <t>再生</t>
        </is>
      </c>
      <c r="E70" s="11" t="n">
        <v>1300</v>
      </c>
    </row>
    <row r="71">
      <c r="A71" s="10" t="inlineStr">
        <is>
          <t>C310H-BK</t>
        </is>
      </c>
      <c r="B71" s="10" t="inlineStr">
        <is>
          <t>トナーカートリッジ C310H（C310・C241）</t>
        </is>
      </c>
      <c r="C71" s="10" t="inlineStr">
        <is>
          <t>ブラック</t>
        </is>
      </c>
      <c r="D71" s="10" t="inlineStr">
        <is>
          <t>再生</t>
        </is>
      </c>
      <c r="E71" s="11" t="n">
        <v>4700</v>
      </c>
    </row>
    <row r="72">
      <c r="A72" s="10" t="inlineStr">
        <is>
          <t>C310H-C</t>
        </is>
      </c>
      <c r="B72" s="10" t="inlineStr">
        <is>
          <t>トナーカートリッジ C310H（C310・C241）</t>
        </is>
      </c>
      <c r="C72" s="10" t="inlineStr">
        <is>
          <t>シアン</t>
        </is>
      </c>
      <c r="D72" s="10" t="inlineStr">
        <is>
          <t>再生</t>
        </is>
      </c>
      <c r="E72" s="11" t="n">
        <v>4700</v>
      </c>
    </row>
    <row r="73">
      <c r="A73" s="10" t="inlineStr">
        <is>
          <t>C310H-M</t>
        </is>
      </c>
      <c r="B73" s="10" t="inlineStr">
        <is>
          <t>トナーカートリッジ C310H（C310・C241）</t>
        </is>
      </c>
      <c r="C73" s="10" t="inlineStr">
        <is>
          <t>マゼンタ</t>
        </is>
      </c>
      <c r="D73" s="10" t="inlineStr">
        <is>
          <t>再生</t>
        </is>
      </c>
      <c r="E73" s="11" t="n">
        <v>4700</v>
      </c>
    </row>
    <row r="74">
      <c r="A74" s="10" t="inlineStr">
        <is>
          <t>C310H-Y</t>
        </is>
      </c>
      <c r="B74" s="10" t="inlineStr">
        <is>
          <t>トナーカートリッジ C310H（C310・C241）</t>
        </is>
      </c>
      <c r="C74" s="10" t="inlineStr">
        <is>
          <t>イエロー</t>
        </is>
      </c>
      <c r="D74" s="10" t="inlineStr">
        <is>
          <t>再生</t>
        </is>
      </c>
      <c r="E74" s="11" t="n">
        <v>4700</v>
      </c>
    </row>
    <row r="75">
      <c r="A75" s="10" t="inlineStr">
        <is>
          <t>C740H-BK</t>
        </is>
      </c>
      <c r="B75" s="10" t="inlineStr">
        <is>
          <t>トナーカートリッジ C740H（C750）</t>
        </is>
      </c>
      <c r="C75" s="10" t="inlineStr">
        <is>
          <t>ブラック</t>
        </is>
      </c>
      <c r="D75" s="10" t="inlineStr">
        <is>
          <t>再生</t>
        </is>
      </c>
      <c r="E75" s="11" t="n">
        <v>4800</v>
      </c>
    </row>
    <row r="76">
      <c r="A76" s="10" t="inlineStr">
        <is>
          <t>C740H-C</t>
        </is>
      </c>
      <c r="B76" s="10" t="inlineStr">
        <is>
          <t>トナーカートリッジ C740H（C750）</t>
        </is>
      </c>
      <c r="C76" s="10" t="inlineStr">
        <is>
          <t>シアン</t>
        </is>
      </c>
      <c r="D76" s="10" t="inlineStr">
        <is>
          <t>再生</t>
        </is>
      </c>
      <c r="E76" s="11" t="n">
        <v>4800</v>
      </c>
    </row>
    <row r="77">
      <c r="A77" s="10" t="inlineStr">
        <is>
          <t>C740H-M</t>
        </is>
      </c>
      <c r="B77" s="10" t="inlineStr">
        <is>
          <t>トナーカートリッジ C740H（C750）</t>
        </is>
      </c>
      <c r="C77" s="10" t="inlineStr">
        <is>
          <t>マゼンタ</t>
        </is>
      </c>
      <c r="D77" s="10" t="inlineStr">
        <is>
          <t>再生</t>
        </is>
      </c>
      <c r="E77" s="11" t="n">
        <v>4800</v>
      </c>
    </row>
    <row r="78">
      <c r="A78" s="10" t="inlineStr">
        <is>
          <t>C740H-Y</t>
        </is>
      </c>
      <c r="B78" s="10" t="inlineStr">
        <is>
          <t>トナーカートリッジ C740H（C750）</t>
        </is>
      </c>
      <c r="C78" s="10" t="inlineStr">
        <is>
          <t>イエロー</t>
        </is>
      </c>
      <c r="D78" s="10" t="inlineStr">
        <is>
          <t>再生</t>
        </is>
      </c>
      <c r="E78" s="11" t="n">
        <v>4800</v>
      </c>
    </row>
    <row r="79">
      <c r="A79" s="10" t="inlineStr">
        <is>
          <t>CE390A</t>
        </is>
      </c>
      <c r="B79" s="10" t="inlineStr">
        <is>
          <t>トナーカートリッジ HP 90A（CE390A）（LaserJet M601）</t>
        </is>
      </c>
      <c r="C79" s="10" t="inlineStr">
        <is>
          <t>ブラック</t>
        </is>
      </c>
      <c r="D79" s="10" t="inlineStr">
        <is>
          <t>再生</t>
        </is>
      </c>
      <c r="E79" s="11" t="n"/>
    </row>
    <row r="80">
      <c r="A80" s="10" t="inlineStr">
        <is>
          <t>LB321B</t>
        </is>
      </c>
      <c r="B80" s="10" t="inlineStr">
        <is>
          <t>トナーカートリッジ LB321B（XL9321）</t>
        </is>
      </c>
      <c r="C80" s="10" t="inlineStr">
        <is>
          <t>ブラック</t>
        </is>
      </c>
      <c r="D80" s="10" t="inlineStr">
        <is>
          <t>再生</t>
        </is>
      </c>
      <c r="E80" s="11" t="n">
        <v>6000</v>
      </c>
    </row>
    <row r="81">
      <c r="A81" s="10" t="inlineStr">
        <is>
          <t>PC300H-BK</t>
        </is>
      </c>
      <c r="B81" s="10" t="inlineStr">
        <is>
          <t>トナーカートリッジ P C300H（C301SF）</t>
        </is>
      </c>
      <c r="C81" s="10" t="inlineStr">
        <is>
          <t>ブラック</t>
        </is>
      </c>
      <c r="D81" s="10" t="inlineStr">
        <is>
          <t>再生</t>
        </is>
      </c>
      <c r="E81" s="11" t="n">
        <v>5200</v>
      </c>
    </row>
    <row r="82">
      <c r="A82" s="10" t="inlineStr">
        <is>
          <t>PC300H-C</t>
        </is>
      </c>
      <c r="B82" s="10" t="inlineStr">
        <is>
          <t>トナーカートリッジ P C300H（C301SF）</t>
        </is>
      </c>
      <c r="C82" s="10" t="inlineStr">
        <is>
          <t>シアン</t>
        </is>
      </c>
      <c r="D82" s="10" t="inlineStr">
        <is>
          <t>再生</t>
        </is>
      </c>
      <c r="E82" s="11" t="n">
        <v>5200</v>
      </c>
    </row>
    <row r="83">
      <c r="A83" s="10" t="inlineStr">
        <is>
          <t>PC300H-M</t>
        </is>
      </c>
      <c r="B83" s="10" t="inlineStr">
        <is>
          <t>トナーカートリッジ P C300H（C301SF）</t>
        </is>
      </c>
      <c r="C83" s="10" t="inlineStr">
        <is>
          <t>マゼンタ</t>
        </is>
      </c>
      <c r="D83" s="10" t="inlineStr">
        <is>
          <t>再生</t>
        </is>
      </c>
      <c r="E83" s="11" t="n">
        <v>5200</v>
      </c>
    </row>
    <row r="84">
      <c r="A84" s="10" t="inlineStr">
        <is>
          <t>PC300H-Y</t>
        </is>
      </c>
      <c r="B84" s="10" t="inlineStr">
        <is>
          <t>トナーカートリッジ P C300H（C301SF）</t>
        </is>
      </c>
      <c r="C84" s="10" t="inlineStr">
        <is>
          <t>イエロー</t>
        </is>
      </c>
      <c r="D84" s="10" t="inlineStr">
        <is>
          <t>再生</t>
        </is>
      </c>
      <c r="E84" s="11" t="n">
        <v>5200</v>
      </c>
    </row>
    <row r="85">
      <c r="A85" s="10" t="inlineStr">
        <is>
          <t>P500H</t>
        </is>
      </c>
      <c r="B85" s="10" t="inlineStr">
        <is>
          <t>トナーカートリッジ P500H（P501）</t>
        </is>
      </c>
      <c r="C85" s="10" t="inlineStr">
        <is>
          <t>ブラック</t>
        </is>
      </c>
      <c r="D85" s="10" t="inlineStr">
        <is>
          <t>再生</t>
        </is>
      </c>
      <c r="E85" s="11" t="n">
        <v>7200</v>
      </c>
    </row>
    <row r="86">
      <c r="A86" s="10" t="inlineStr">
        <is>
          <t>TK-3191</t>
        </is>
      </c>
      <c r="B86" s="10" t="inlineStr">
        <is>
          <t>トナーカートリッジ TK-3191（ECOSYS P3060dn）</t>
        </is>
      </c>
      <c r="C86" s="10" t="inlineStr">
        <is>
          <t>ブラック</t>
        </is>
      </c>
      <c r="D86" s="10" t="inlineStr">
        <is>
          <t>純正</t>
        </is>
      </c>
      <c r="E86" s="11" t="n">
        <v>19000</v>
      </c>
    </row>
    <row r="87">
      <c r="A87" s="10" t="inlineStr">
        <is>
          <t>TK-3431</t>
        </is>
      </c>
      <c r="B87" s="10" t="inlineStr">
        <is>
          <t>トナーカートリッジ TK-3431（ECOSYS PA6000x）</t>
        </is>
      </c>
      <c r="C87" s="10" t="inlineStr">
        <is>
          <t>ブラック</t>
        </is>
      </c>
      <c r="D87" s="10" t="inlineStr">
        <is>
          <t>純正</t>
        </is>
      </c>
      <c r="E87" s="11" t="n">
        <v>19000</v>
      </c>
    </row>
    <row r="88">
      <c r="A88" s="10" t="inlineStr">
        <is>
          <t>TN-27J</t>
        </is>
      </c>
      <c r="B88" s="10" t="inlineStr">
        <is>
          <t>トナーカートリッジ TN-27J（FAX-2840）</t>
        </is>
      </c>
      <c r="C88" s="10" t="inlineStr"/>
      <c r="D88" s="10" t="inlineStr">
        <is>
          <t>再生</t>
        </is>
      </c>
      <c r="E88" s="11" t="n">
        <v>2500</v>
      </c>
    </row>
    <row r="89">
      <c r="A89" s="10" t="inlineStr">
        <is>
          <t>TN-293BK</t>
        </is>
      </c>
      <c r="B89" s="10" t="inlineStr">
        <is>
          <t>トナーカートリッジ TN-293BK（HL-L3230CDW）</t>
        </is>
      </c>
      <c r="C89" s="10" t="inlineStr">
        <is>
          <t>ブラック</t>
        </is>
      </c>
      <c r="D89" s="10" t="inlineStr">
        <is>
          <t>再生</t>
        </is>
      </c>
      <c r="E89" s="11" t="n">
        <v>3900</v>
      </c>
    </row>
    <row r="90">
      <c r="A90" s="10" t="inlineStr">
        <is>
          <t>TN-297C</t>
        </is>
      </c>
      <c r="B90" s="10" t="inlineStr">
        <is>
          <t>トナーカートリッジ TN-297C（HL-L3230CDW）</t>
        </is>
      </c>
      <c r="C90" s="10" t="inlineStr">
        <is>
          <t>シアン</t>
        </is>
      </c>
      <c r="D90" s="10" t="inlineStr">
        <is>
          <t>再生</t>
        </is>
      </c>
      <c r="E90" s="11" t="n">
        <v>4100</v>
      </c>
    </row>
    <row r="91">
      <c r="A91" s="10" t="inlineStr">
        <is>
          <t>TN-297M</t>
        </is>
      </c>
      <c r="B91" s="10" t="inlineStr">
        <is>
          <t>トナーカートリッジ TN-297M（HL-L3230CDW）</t>
        </is>
      </c>
      <c r="C91" s="10" t="inlineStr">
        <is>
          <t>マゼンタ</t>
        </is>
      </c>
      <c r="D91" s="10" t="inlineStr">
        <is>
          <t>再生</t>
        </is>
      </c>
      <c r="E91" s="11" t="n">
        <v>4100</v>
      </c>
    </row>
    <row r="92">
      <c r="A92" s="10" t="inlineStr">
        <is>
          <t>TN-297Y</t>
        </is>
      </c>
      <c r="B92" s="10" t="inlineStr">
        <is>
          <t>トナーカートリッジ TN-297Y（HL-L3230CDW）</t>
        </is>
      </c>
      <c r="C92" s="10" t="inlineStr">
        <is>
          <t>イエロー</t>
        </is>
      </c>
      <c r="D92" s="10" t="inlineStr">
        <is>
          <t>再生</t>
        </is>
      </c>
      <c r="E92" s="11" t="n">
        <v>4100</v>
      </c>
    </row>
    <row r="93">
      <c r="A93" s="10" t="inlineStr">
        <is>
          <t>TNR-M4G2</t>
        </is>
      </c>
      <c r="B93" s="10" t="inlineStr">
        <is>
          <t>トナーカートリッジ TNR-M4G2（OKI B432）</t>
        </is>
      </c>
      <c r="C93" s="10" t="inlineStr">
        <is>
          <t>ブラック</t>
        </is>
      </c>
      <c r="D93" s="10" t="inlineStr">
        <is>
          <t>再生</t>
        </is>
      </c>
      <c r="E93" s="11" t="n">
        <v>9800</v>
      </c>
    </row>
    <row r="94">
      <c r="A94" s="10" t="inlineStr">
        <is>
          <t>カートリッジ304</t>
        </is>
      </c>
      <c r="B94" s="10" t="inlineStr">
        <is>
          <t>トナーカートリッジ カートリッジ304（Satera D450）</t>
        </is>
      </c>
      <c r="C94" s="10" t="inlineStr"/>
      <c r="D94" s="10" t="inlineStr">
        <is>
          <t>再生</t>
        </is>
      </c>
      <c r="E94" s="11" t="n">
        <v>3600</v>
      </c>
    </row>
    <row r="95">
      <c r="A95" s="10" t="inlineStr">
        <is>
          <t>カートリッジ524</t>
        </is>
      </c>
      <c r="B95" s="10" t="inlineStr">
        <is>
          <t>トナーカートリッジ カートリッジ524（生体情報管理モニター）</t>
        </is>
      </c>
      <c r="C95" s="10" t="inlineStr"/>
      <c r="D95" s="10" t="inlineStr">
        <is>
          <t>再生</t>
        </is>
      </c>
      <c r="E95" s="11" t="n">
        <v>6000</v>
      </c>
    </row>
    <row r="96">
      <c r="A96" s="10" t="inlineStr">
        <is>
          <t>トナー4200</t>
        </is>
      </c>
      <c r="B96" s="10" t="inlineStr">
        <is>
          <t>トナーカートリッジ トナー4200（SP4310）</t>
        </is>
      </c>
      <c r="C96" s="10" t="inlineStr">
        <is>
          <t>ブラック</t>
        </is>
      </c>
      <c r="D96" s="10" t="inlineStr">
        <is>
          <t>再生</t>
        </is>
      </c>
      <c r="E96" s="11" t="n">
        <v>5400</v>
      </c>
    </row>
    <row r="97">
      <c r="A97" s="10" t="inlineStr">
        <is>
          <t>トナー4500H</t>
        </is>
      </c>
      <c r="B97" s="10" t="inlineStr">
        <is>
          <t>トナーカートリッジ トナー4500H（SP4510・SP3610）</t>
        </is>
      </c>
      <c r="C97" s="10" t="inlineStr">
        <is>
          <t>ブラック</t>
        </is>
      </c>
      <c r="D97" s="10" t="inlineStr">
        <is>
          <t>再生</t>
        </is>
      </c>
      <c r="E97" s="11" t="n">
        <v>4600</v>
      </c>
    </row>
    <row r="98">
      <c r="A98" s="10" t="inlineStr">
        <is>
          <t>CT203057</t>
        </is>
      </c>
      <c r="B98" s="10" t="inlineStr">
        <is>
          <t>トナーカートリッジ（大容量） CT203057（DocuPrint CP500d）</t>
        </is>
      </c>
      <c r="C98" s="10" t="inlineStr">
        <is>
          <t>ブラック</t>
        </is>
      </c>
      <c r="D98" s="10" t="inlineStr">
        <is>
          <t>再生</t>
        </is>
      </c>
      <c r="E98" s="11" t="n">
        <v>12300</v>
      </c>
    </row>
    <row r="99">
      <c r="A99" s="10" t="inlineStr">
        <is>
          <t>CT203058</t>
        </is>
      </c>
      <c r="B99" s="10" t="inlineStr">
        <is>
          <t>トナーカートリッジ（大容量） CT203058（DocuPrint CP500d）</t>
        </is>
      </c>
      <c r="C99" s="10" t="inlineStr">
        <is>
          <t>シアン</t>
        </is>
      </c>
      <c r="D99" s="10" t="inlineStr">
        <is>
          <t>再生</t>
        </is>
      </c>
      <c r="E99" s="11" t="n">
        <v>11000</v>
      </c>
    </row>
    <row r="100">
      <c r="A100" s="10" t="inlineStr">
        <is>
          <t>CT203059</t>
        </is>
      </c>
      <c r="B100" s="10" t="inlineStr">
        <is>
          <t>トナーカートリッジ（大容量） CT203059（DocuPrint CP500d）</t>
        </is>
      </c>
      <c r="C100" s="10" t="inlineStr">
        <is>
          <t>マゼンタ</t>
        </is>
      </c>
      <c r="D100" s="10" t="inlineStr">
        <is>
          <t>再生</t>
        </is>
      </c>
      <c r="E100" s="11" t="n">
        <v>11000</v>
      </c>
    </row>
    <row r="101">
      <c r="A101" s="10" t="inlineStr">
        <is>
          <t>CT203060</t>
        </is>
      </c>
      <c r="B101" s="10" t="inlineStr">
        <is>
          <t>トナーカートリッジ（大容量） CT203060（DocuPrint CP500d）</t>
        </is>
      </c>
      <c r="C101" s="10" t="inlineStr">
        <is>
          <t>イエロー</t>
        </is>
      </c>
      <c r="D101" s="10" t="inlineStr">
        <is>
          <t>再生</t>
        </is>
      </c>
      <c r="E101" s="11" t="n">
        <v>11000</v>
      </c>
    </row>
    <row r="102">
      <c r="A102" s="10" t="inlineStr">
        <is>
          <t>CWAA0915</t>
        </is>
      </c>
      <c r="B102" s="10" t="inlineStr">
        <is>
          <t>トナー回収ボトル CWAA0915（DocuPrint CP500d）</t>
        </is>
      </c>
      <c r="C102" s="10" t="inlineStr"/>
      <c r="D102" s="10" t="inlineStr">
        <is>
          <t>純正</t>
        </is>
      </c>
      <c r="E102" s="11" t="n">
        <v>2190</v>
      </c>
    </row>
    <row r="103">
      <c r="A103" s="10" t="inlineStr">
        <is>
          <t>CT351149</t>
        </is>
      </c>
      <c r="B103" s="10" t="inlineStr">
        <is>
          <t>ドラムカートリッジ CT351149（DocuPrint CP500d）</t>
        </is>
      </c>
      <c r="C103" s="10" t="inlineStr">
        <is>
          <t>ブラック</t>
        </is>
      </c>
      <c r="D103" s="10" t="inlineStr">
        <is>
          <t>純正</t>
        </is>
      </c>
      <c r="E103" s="11" t="n">
        <v>8500</v>
      </c>
    </row>
    <row r="104">
      <c r="A104" s="10" t="inlineStr">
        <is>
          <t>CT351150</t>
        </is>
      </c>
      <c r="B104" s="10" t="inlineStr">
        <is>
          <t>ドラムカートリッジ CT351150（DocuPrint CP500d）</t>
        </is>
      </c>
      <c r="C104" s="10" t="inlineStr">
        <is>
          <t>シアン</t>
        </is>
      </c>
      <c r="D104" s="10" t="inlineStr">
        <is>
          <t>純正</t>
        </is>
      </c>
      <c r="E104" s="11" t="n">
        <v>8500</v>
      </c>
    </row>
    <row r="105">
      <c r="A105" s="10" t="inlineStr">
        <is>
          <t>CT351151</t>
        </is>
      </c>
      <c r="B105" s="10" t="inlineStr">
        <is>
          <t>ドラムカートリッジ CT351151（DocuPrint CP500d）</t>
        </is>
      </c>
      <c r="C105" s="10" t="inlineStr">
        <is>
          <t>マゼンタ</t>
        </is>
      </c>
      <c r="D105" s="10" t="inlineStr">
        <is>
          <t>純正</t>
        </is>
      </c>
      <c r="E105" s="11" t="n">
        <v>8500</v>
      </c>
    </row>
    <row r="106">
      <c r="A106" s="10" t="inlineStr">
        <is>
          <t>CT351152</t>
        </is>
      </c>
      <c r="B106" s="10" t="inlineStr">
        <is>
          <t>ドラムカートリッジ CT351152（DocuPrint CP500d）</t>
        </is>
      </c>
      <c r="C106" s="10" t="inlineStr">
        <is>
          <t>イエロー</t>
        </is>
      </c>
      <c r="D106" s="10" t="inlineStr">
        <is>
          <t>純正</t>
        </is>
      </c>
      <c r="E106" s="11" t="n">
        <v>8500</v>
      </c>
    </row>
    <row r="107">
      <c r="A107" s="10" t="inlineStr">
        <is>
          <t>LB321</t>
        </is>
      </c>
      <c r="B107" s="10" t="inlineStr">
        <is>
          <t>ドラムカートリッジ LB321（XL9321）</t>
        </is>
      </c>
      <c r="C107" s="10" t="inlineStr"/>
      <c r="D107" s="10" t="inlineStr">
        <is>
          <t>純正</t>
        </is>
      </c>
      <c r="E107" s="11" t="n">
        <v>10700</v>
      </c>
    </row>
    <row r="108">
      <c r="A108" s="10" t="inlineStr">
        <is>
          <t>ドラムユニットC740-COLOR</t>
        </is>
      </c>
      <c r="B108" s="10" t="inlineStr">
        <is>
          <t>ドラムユニット C740（カラー）（C750）</t>
        </is>
      </c>
      <c r="C108" s="10" t="inlineStr">
        <is>
          <t>カラー</t>
        </is>
      </c>
      <c r="D108" s="10" t="inlineStr">
        <is>
          <t>純正</t>
        </is>
      </c>
      <c r="E108" s="11" t="n">
        <v>37800</v>
      </c>
    </row>
    <row r="109">
      <c r="A109" s="10" t="inlineStr">
        <is>
          <t>ドラムユニットC740-BK</t>
        </is>
      </c>
      <c r="B109" s="10" t="inlineStr">
        <is>
          <t>ドラムユニット C740（ブラック）（C750）</t>
        </is>
      </c>
      <c r="C109" s="10" t="inlineStr">
        <is>
          <t>ブラック</t>
        </is>
      </c>
      <c r="D109" s="10" t="inlineStr">
        <is>
          <t>純正</t>
        </is>
      </c>
      <c r="E109" s="11" t="n">
        <v>13000</v>
      </c>
    </row>
    <row r="110">
      <c r="A110" s="10" t="inlineStr">
        <is>
          <t>DR-293CL-BK</t>
        </is>
      </c>
      <c r="B110" s="10" t="inlineStr">
        <is>
          <t>ドラムユニット DR-293CL-BK（HL-L3230CDW）</t>
        </is>
      </c>
      <c r="C110" s="10" t="inlineStr">
        <is>
          <t>ブラック</t>
        </is>
      </c>
      <c r="D110" s="10" t="inlineStr">
        <is>
          <t>純正</t>
        </is>
      </c>
      <c r="E110" s="11" t="n">
        <v>5700</v>
      </c>
    </row>
    <row r="111">
      <c r="A111" s="10" t="inlineStr">
        <is>
          <t>DR-293CL-C</t>
        </is>
      </c>
      <c r="B111" s="10" t="inlineStr">
        <is>
          <t>ドラムユニット DR-293CL-C（HL-L3230CDW）</t>
        </is>
      </c>
      <c r="C111" s="10" t="inlineStr">
        <is>
          <t>シアン</t>
        </is>
      </c>
      <c r="D111" s="10" t="inlineStr">
        <is>
          <t>純正</t>
        </is>
      </c>
      <c r="E111" s="11" t="n">
        <v>5700</v>
      </c>
    </row>
    <row r="112">
      <c r="A112" s="10" t="inlineStr">
        <is>
          <t>DR-293CL-M</t>
        </is>
      </c>
      <c r="B112" s="10" t="inlineStr">
        <is>
          <t>ドラムユニット DR-293CL-M（HL-L3230CDW）</t>
        </is>
      </c>
      <c r="C112" s="10" t="inlineStr">
        <is>
          <t>マゼンタ</t>
        </is>
      </c>
      <c r="D112" s="10" t="inlineStr">
        <is>
          <t>純正</t>
        </is>
      </c>
      <c r="E112" s="11" t="n">
        <v>5700</v>
      </c>
    </row>
    <row r="113">
      <c r="A113" s="10" t="inlineStr">
        <is>
          <t>DR-293CL-Y</t>
        </is>
      </c>
      <c r="B113" s="10" t="inlineStr">
        <is>
          <t>ドラムユニット DR-293CL-Y（HL-L3230CDW）</t>
        </is>
      </c>
      <c r="C113" s="10" t="inlineStr">
        <is>
          <t>イエロー</t>
        </is>
      </c>
      <c r="D113" s="10" t="inlineStr">
        <is>
          <t>純正</t>
        </is>
      </c>
      <c r="E113" s="11" t="n">
        <v>5700</v>
      </c>
    </row>
    <row r="114">
      <c r="A114" s="10" t="inlineStr">
        <is>
          <t>DR-293CL</t>
        </is>
      </c>
      <c r="B114" s="10" t="inlineStr">
        <is>
          <t>ドラムユニット DR-293CL 4本入り（HL-L3230CDW）</t>
        </is>
      </c>
      <c r="C114" s="10" t="inlineStr">
        <is>
          <t>BK,C,M,Y</t>
        </is>
      </c>
      <c r="D114" s="10" t="inlineStr">
        <is>
          <t>純正</t>
        </is>
      </c>
      <c r="E114" s="11" t="n">
        <v>18000</v>
      </c>
    </row>
    <row r="115">
      <c r="A115" s="10" t="inlineStr">
        <is>
          <t>ドラムユニットP500</t>
        </is>
      </c>
      <c r="B115" s="10" t="inlineStr">
        <is>
          <t>ドラムユニット ドラムユニット P500（P501）</t>
        </is>
      </c>
      <c r="C115" s="10" t="inlineStr">
        <is>
          <t>ブラック</t>
        </is>
      </c>
      <c r="D115" s="10" t="inlineStr">
        <is>
          <t>純正</t>
        </is>
      </c>
      <c r="E115" s="11" t="n">
        <v>12000</v>
      </c>
    </row>
    <row r="116">
      <c r="A116" s="10" t="inlineStr">
        <is>
          <t>ドラムユニット4500</t>
        </is>
      </c>
      <c r="B116" s="10" t="inlineStr">
        <is>
          <t>ドラムユニット ドラムユニット4500（SP4510・SP3610）</t>
        </is>
      </c>
      <c r="C116" s="10" t="inlineStr"/>
      <c r="D116" s="10" t="inlineStr">
        <is>
          <t>純正</t>
        </is>
      </c>
      <c r="E116" s="11" t="n">
        <v>8150</v>
      </c>
    </row>
    <row r="117">
      <c r="A117" s="10" t="inlineStr">
        <is>
          <t>DR-22J</t>
        </is>
      </c>
      <c r="B117" s="10" t="inlineStr">
        <is>
          <t>ベルトユニット DR-22J（FAX-2840）</t>
        </is>
      </c>
      <c r="C117" s="10" t="inlineStr"/>
      <c r="D117" s="10" t="inlineStr">
        <is>
          <t>再生</t>
        </is>
      </c>
      <c r="E117" s="11" t="n">
        <v>4800</v>
      </c>
    </row>
    <row r="118">
      <c r="A118" s="10" t="inlineStr">
        <is>
          <t>MK-3381</t>
        </is>
      </c>
      <c r="B118" s="10" t="inlineStr">
        <is>
          <t>メンテナンスキット MK-3381（ECOSYS PA6000x）</t>
        </is>
      </c>
      <c r="C118" s="10" t="inlineStr"/>
      <c r="D118" s="10" t="inlineStr">
        <is>
          <t>純正</t>
        </is>
      </c>
      <c r="E118" s="11" t="n">
        <v>24000</v>
      </c>
    </row>
    <row r="119">
      <c r="A119" s="10" t="inlineStr">
        <is>
          <t>EWMB2</t>
        </is>
      </c>
      <c r="B119" s="10" t="inlineStr">
        <is>
          <t>メンテナンスボックス EWMB2（EW-M530F）</t>
        </is>
      </c>
      <c r="C119" s="10" t="inlineStr"/>
      <c r="D119" s="10" t="inlineStr">
        <is>
          <t>再生</t>
        </is>
      </c>
      <c r="E119" s="11" t="n">
        <v>1600</v>
      </c>
    </row>
    <row r="120">
      <c r="A120" s="10" t="inlineStr">
        <is>
          <t>PJMB100</t>
        </is>
      </c>
      <c r="B120" s="10" t="inlineStr">
        <is>
          <t>メンテナンスボックス PJMB100（PP-100II）</t>
        </is>
      </c>
      <c r="C120" s="10" t="inlineStr"/>
      <c r="D120" s="10" t="inlineStr">
        <is>
          <t>純正</t>
        </is>
      </c>
      <c r="E120" s="11" t="n">
        <v>3000</v>
      </c>
    </row>
    <row r="121">
      <c r="A121" s="10" t="inlineStr">
        <is>
          <t>PXMB3</t>
        </is>
      </c>
      <c r="B121" s="10" t="inlineStr">
        <is>
          <t>メンテナンスボックス PXMB3（PX205）</t>
        </is>
      </c>
      <c r="C121" s="10" t="inlineStr"/>
      <c r="D121" s="10" t="inlineStr">
        <is>
          <t>純正</t>
        </is>
      </c>
      <c r="E121" s="11" t="n">
        <v>1800</v>
      </c>
    </row>
    <row r="122">
      <c r="A122" s="10" t="inlineStr">
        <is>
          <t>PXMB7</t>
        </is>
      </c>
      <c r="B122" s="10" t="inlineStr">
        <is>
          <t>メンテナンスボックス PXMB7（PX-M780F）</t>
        </is>
      </c>
      <c r="C122" s="10" t="inlineStr"/>
      <c r="D122" s="10" t="inlineStr">
        <is>
          <t>純正</t>
        </is>
      </c>
      <c r="E122" s="11" t="n">
        <v>1800</v>
      </c>
    </row>
    <row r="123">
      <c r="A123" s="10" t="inlineStr">
        <is>
          <t>PXMB8</t>
        </is>
      </c>
      <c r="B123" s="10" t="inlineStr">
        <is>
          <t>メンテナンスボックス PXMB8（PX-S381）</t>
        </is>
      </c>
      <c r="C123" s="10" t="inlineStr"/>
      <c r="D123" s="10" t="inlineStr">
        <is>
          <t>再生</t>
        </is>
      </c>
      <c r="E123" s="11" t="n">
        <v>1900</v>
      </c>
    </row>
    <row r="124">
      <c r="A124" s="10" t="inlineStr">
        <is>
          <t>PXMB9</t>
        </is>
      </c>
      <c r="B124" s="10" t="inlineStr">
        <is>
          <t>メンテナンスボックス PXMB9（PX-M791FT）</t>
        </is>
      </c>
      <c r="C124" s="10" t="inlineStr"/>
      <c r="D124" s="10" t="inlineStr">
        <is>
          <t>純正</t>
        </is>
      </c>
      <c r="E124" s="11" t="n">
        <v>2700</v>
      </c>
    </row>
    <row r="125">
      <c r="A125" s="10" t="inlineStr">
        <is>
          <t>LPB3T24</t>
        </is>
      </c>
      <c r="B125" s="10" t="inlineStr">
        <is>
          <t>感光体ユニット LPB3T24（LP-2200）</t>
        </is>
      </c>
      <c r="C125" s="10" t="inlineStr">
        <is>
          <t>ブラック</t>
        </is>
      </c>
      <c r="D125" s="10" t="inlineStr">
        <is>
          <t>再生</t>
        </is>
      </c>
      <c r="E125" s="11" t="n">
        <v>6200</v>
      </c>
    </row>
    <row r="126">
      <c r="A126" s="10" t="inlineStr">
        <is>
          <t>廃トナーボトルC220</t>
        </is>
      </c>
      <c r="B126" s="10" t="inlineStr">
        <is>
          <t>廃トナーボトル C220（C241,C251,C261,C301SF用）（C310・C241）</t>
        </is>
      </c>
      <c r="C126" s="10" t="inlineStr"/>
      <c r="D126" s="10" t="inlineStr">
        <is>
          <t>純正</t>
        </is>
      </c>
      <c r="E126" s="11" t="n">
        <v>2500</v>
      </c>
    </row>
    <row r="127">
      <c r="A127" s="10" t="inlineStr">
        <is>
          <t>廃トナーボトルC310</t>
        </is>
      </c>
      <c r="B127" s="10" t="inlineStr">
        <is>
          <t>廃トナーボトル C310（C310用）（C310・C241）</t>
        </is>
      </c>
      <c r="C127" s="10" t="inlineStr"/>
      <c r="D127" s="10" t="inlineStr">
        <is>
          <t>純正</t>
        </is>
      </c>
      <c r="E127" s="11" t="n">
        <v>3000</v>
      </c>
    </row>
    <row r="128">
      <c r="A128" s="10" t="inlineStr">
        <is>
          <t>NPG-67BK</t>
        </is>
      </c>
      <c r="B128" s="10" t="inlineStr"/>
      <c r="C128" s="10" t="inlineStr"/>
      <c r="D128" s="10" t="inlineStr">
        <is>
          <t>純正</t>
        </is>
      </c>
      <c r="E128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62" customWidth="1" min="3" max="3"/>
    <col width="78" customWidth="1" min="4" max="4"/>
  </cols>
  <sheetData>
    <row r="1">
      <c r="A1" s="6" t="inlineStr">
        <is>
          <t>出典一覧</t>
        </is>
      </c>
    </row>
    <row r="2">
      <c r="A2" s="7" t="inlineStr">
        <is>
          <t>2026-08-21 に確認。メーカー公式を優先し、公式に記載が無いものは販売店・リサイクル業者のページを使った。</t>
        </is>
      </c>
    </row>
    <row r="4">
      <c r="A4" s="1" t="inlineStr">
        <is>
          <t>出典ID</t>
        </is>
      </c>
      <c r="B4" s="1" t="inlineStr">
        <is>
          <t>種別</t>
        </is>
      </c>
      <c r="C4" s="1" t="inlineStr">
        <is>
          <t>名称</t>
        </is>
      </c>
      <c r="D4" s="1" t="inlineStr">
        <is>
          <t>URL</t>
        </is>
      </c>
    </row>
    <row r="5">
      <c r="A5" s="10" t="inlineStr">
        <is>
          <t>S01</t>
        </is>
      </c>
      <c r="B5" s="10" t="inlineStr">
        <is>
          <t>メーカー公式</t>
        </is>
      </c>
      <c r="C5" s="10" t="inlineStr">
        <is>
          <t>リコー公式 消耗品など / RICOH P C301SF</t>
        </is>
      </c>
      <c r="D5" s="10" t="inlineStr">
        <is>
          <t>https://www.ricoh.co.jp/products/list/ricoh-p-c301sf/supply</t>
        </is>
      </c>
    </row>
    <row r="6">
      <c r="A6" s="10" t="inlineStr">
        <is>
          <t>S02</t>
        </is>
      </c>
      <c r="B6" s="10" t="inlineStr">
        <is>
          <t>メーカー公式</t>
        </is>
      </c>
      <c r="C6" s="10" t="inlineStr">
        <is>
          <t>リコー公式 消耗品など / RICOH P 501/501M/500/500M</t>
        </is>
      </c>
      <c r="D6" s="10" t="inlineStr">
        <is>
          <t>https://www.ricoh.co.jp/products/list/ricoh-p-501-500/supply</t>
        </is>
      </c>
    </row>
    <row r="7">
      <c r="A7" s="10" t="inlineStr">
        <is>
          <t>S03</t>
        </is>
      </c>
      <c r="B7" s="10" t="inlineStr">
        <is>
          <t>メーカー公式</t>
        </is>
      </c>
      <c r="C7" s="10" t="inlineStr">
        <is>
          <t>リコー公式 消耗品 / RICOH SP 3610</t>
        </is>
      </c>
      <c r="D7" s="10" t="inlineStr">
        <is>
          <t>https://www.ricoh.co.jp/printer/sp/3610/support/supply.html</t>
        </is>
      </c>
    </row>
    <row r="8">
      <c r="A8" s="10" t="inlineStr">
        <is>
          <t>S04</t>
        </is>
      </c>
      <c r="B8" s="10" t="inlineStr">
        <is>
          <t>メーカー公式</t>
        </is>
      </c>
      <c r="C8" s="10" t="inlineStr">
        <is>
          <t>リコー公式 消耗品など / IPSiO SP 4310/4300</t>
        </is>
      </c>
      <c r="D8" s="10" t="inlineStr">
        <is>
          <t>https://www.ricoh.co.jp/products/list/ipsio-sp-4310-4300/supply</t>
        </is>
      </c>
    </row>
    <row r="9">
      <c r="A9" s="10" t="inlineStr">
        <is>
          <t>S05</t>
        </is>
      </c>
      <c r="B9" s="10" t="inlineStr">
        <is>
          <t>メーカー公式</t>
        </is>
      </c>
      <c r="C9" s="10" t="inlineStr">
        <is>
          <t>リコー公式 消耗品 / RICOH SP 4510/4500</t>
        </is>
      </c>
      <c r="D9" s="10" t="inlineStr">
        <is>
          <t>https://www.ricoh.co.jp/printer/sp/4510_4500/support/supply.html</t>
        </is>
      </c>
    </row>
    <row r="10">
      <c r="A10" s="10" t="inlineStr">
        <is>
          <t>S06</t>
        </is>
      </c>
      <c r="B10" s="10" t="inlineStr">
        <is>
          <t>メーカー公式</t>
        </is>
      </c>
      <c r="C10" s="10" t="inlineStr">
        <is>
          <t>リコー公式 消耗品 / IPSiO SP C320</t>
        </is>
      </c>
      <c r="D10" s="10" t="inlineStr">
        <is>
          <t>https://www.ricoh.co.jp/IPSiO/spc/320/support/supply.html</t>
        </is>
      </c>
    </row>
    <row r="11">
      <c r="A11" s="10" t="inlineStr">
        <is>
          <t>S07</t>
        </is>
      </c>
      <c r="B11" s="10" t="inlineStr">
        <is>
          <t>メーカー公式</t>
        </is>
      </c>
      <c r="C11" s="10" t="inlineStr">
        <is>
          <t>リコー公式 消耗品 / RICOH SP C342/C342M/C341</t>
        </is>
      </c>
      <c r="D11" s="10" t="inlineStr">
        <is>
          <t>https://www.ricoh.co.jp/printer/spc/342_341/support/supply.html</t>
        </is>
      </c>
    </row>
    <row r="12">
      <c r="A12" s="10" t="inlineStr">
        <is>
          <t>S08</t>
        </is>
      </c>
      <c r="B12" s="10" t="inlineStr">
        <is>
          <t>メーカー公式</t>
        </is>
      </c>
      <c r="C12" s="10" t="inlineStr">
        <is>
          <t>リコー公式 消耗品など / RICOH SP C751/C751M/C750/C750M</t>
        </is>
      </c>
      <c r="D12" s="10" t="inlineStr">
        <is>
          <t>https://www.ricoh.co.jp/products/list/ricoh-sp-c751-c750/supply</t>
        </is>
      </c>
    </row>
    <row r="13">
      <c r="A13" s="10" t="inlineStr">
        <is>
          <t>S09</t>
        </is>
      </c>
      <c r="B13" s="10" t="inlineStr">
        <is>
          <t>メーカー公式</t>
        </is>
      </c>
      <c r="C13" s="10" t="inlineStr">
        <is>
          <t>リコー使用説明書 消耗品一覧 / RICOH IM C6000〜C2000</t>
        </is>
      </c>
      <c r="D13" s="10" t="inlineStr">
        <is>
          <t>https://manuals.ricoh.com/mfp/p_manual/IMC6000JPN/ja/spec/int/consumables.htm</t>
        </is>
      </c>
    </row>
    <row r="14">
      <c r="A14" s="10" t="inlineStr">
        <is>
          <t>S10</t>
        </is>
      </c>
      <c r="B14" s="10" t="inlineStr">
        <is>
          <t>メーカー公式</t>
        </is>
      </c>
      <c r="C14" s="10" t="inlineStr">
        <is>
          <t>リコー公式 消耗品 / RICOH IM C6000/C5500/C4500/C3500/C3000/C2500</t>
        </is>
      </c>
      <c r="D14" s="10" t="inlineStr">
        <is>
          <t>https://www.ricoh.co.jp/mfp/color/im-C6000-C5500-C4500-C3500-C3000-C2500/support/supply</t>
        </is>
      </c>
    </row>
    <row r="15">
      <c r="A15" s="10" t="inlineStr">
        <is>
          <t>S11</t>
        </is>
      </c>
      <c r="B15" s="10" t="inlineStr">
        <is>
          <t>メーカー公式</t>
        </is>
      </c>
      <c r="C15" s="10" t="inlineStr">
        <is>
          <t>富士フイルムBI公式 DocuPrint CP500 d 消耗品と保守サービスの価格</t>
        </is>
      </c>
      <c r="D15" s="10" t="inlineStr">
        <is>
          <t>https://www.fujifilm.com/fb/product/printer/docuprint_cp500d/price.html</t>
        </is>
      </c>
    </row>
    <row r="16">
      <c r="A16" s="10" t="inlineStr">
        <is>
          <t>S12</t>
        </is>
      </c>
      <c r="B16" s="10" t="inlineStr">
        <is>
          <t>メーカー公式</t>
        </is>
      </c>
      <c r="C16" s="10" t="inlineStr">
        <is>
          <t>エプソン公式 PX-M791FT オプション・消耗品</t>
        </is>
      </c>
      <c r="D16" s="10" t="inlineStr">
        <is>
          <t>https://www.epson.jp/products/ecotank/pxm791ft/supply.htm</t>
        </is>
      </c>
    </row>
    <row r="17">
      <c r="A17" s="10" t="inlineStr">
        <is>
          <t>S13</t>
        </is>
      </c>
      <c r="B17" s="10" t="inlineStr">
        <is>
          <t>メーカー公式</t>
        </is>
      </c>
      <c r="C17" s="10" t="inlineStr">
        <is>
          <t>エプソン公式 PX-S381L 消耗品情報・オプション情報</t>
        </is>
      </c>
      <c r="D17" s="10" t="inlineStr">
        <is>
          <t>https://www.epson.jp/support/portal/shoumouhin/px-s381l.htm</t>
        </is>
      </c>
    </row>
    <row r="18">
      <c r="A18" s="10" t="inlineStr">
        <is>
          <t>S14</t>
        </is>
      </c>
      <c r="B18" s="10" t="inlineStr">
        <is>
          <t>メーカー公式</t>
        </is>
      </c>
      <c r="C18" s="10" t="inlineStr">
        <is>
          <t>ブラザー公式 消耗品・オプション / HL-L3230CDW</t>
        </is>
      </c>
      <c r="D18" s="10" t="inlineStr">
        <is>
          <t>https://www.brother.co.jp/product/printer/laserprinter/hll3230cdw/accessory/index.aspx</t>
        </is>
      </c>
    </row>
    <row r="19">
      <c r="A19" s="10" t="inlineStr">
        <is>
          <t>S15</t>
        </is>
      </c>
      <c r="B19" s="10" t="inlineStr">
        <is>
          <t>メーカー公式</t>
        </is>
      </c>
      <c r="C19" s="10" t="inlineStr">
        <is>
          <t>ブラザー直販（ブラザーダイレクトクラブ）HL-L3230CDW 消耗品</t>
        </is>
      </c>
      <c r="D19" s="10" t="inlineStr">
        <is>
          <t>https://direct.brother.co.jp/shop/r/r-printer-supply-model-hl3230/</t>
        </is>
      </c>
    </row>
    <row r="20">
      <c r="A20" s="10" t="inlineStr">
        <is>
          <t>S16</t>
        </is>
      </c>
      <c r="B20" s="10" t="inlineStr">
        <is>
          <t>メーカー公式</t>
        </is>
      </c>
      <c r="C20" s="10" t="inlineStr">
        <is>
          <t>京セラ公式 消耗品 / ECOSYS PA6000x・PA4500x</t>
        </is>
      </c>
      <c r="D20" s="10" t="inlineStr">
        <is>
          <t>https://www.kyoceradocumentsolutions.co.jp/products/printer/ecosys-pa6000x-pa4500x/supplies.html</t>
        </is>
      </c>
    </row>
    <row r="21">
      <c r="A21" s="10" t="inlineStr">
        <is>
          <t>S17</t>
        </is>
      </c>
      <c r="B21" s="10" t="inlineStr">
        <is>
          <t>メーカー公式</t>
        </is>
      </c>
      <c r="C21" s="10" t="inlineStr">
        <is>
          <t>キヤノン FAQ LBP6710i オプション品/消耗品</t>
        </is>
      </c>
      <c r="D21" s="10" t="inlineStr">
        <is>
          <t>https://faq.canon.jp/app/answers/detail/a_id/71259</t>
        </is>
      </c>
    </row>
    <row r="22">
      <c r="A22" s="10" t="inlineStr">
        <is>
          <t>S18</t>
        </is>
      </c>
      <c r="B22" s="10" t="inlineStr">
        <is>
          <t>メーカー公式</t>
        </is>
      </c>
      <c r="C22" s="10" t="inlineStr">
        <is>
          <t>キヤノンオンラインショップ LBP6710i/LBP6700 トナーカートリッジ</t>
        </is>
      </c>
      <c r="D22" s="10" t="inlineStr">
        <is>
          <t>https://store.canon.jp/online/r/rG1111112/</t>
        </is>
      </c>
    </row>
    <row r="23">
      <c r="A23" s="10" t="inlineStr">
        <is>
          <t>S19</t>
        </is>
      </c>
      <c r="B23" s="10" t="inlineStr">
        <is>
          <t>メーカー公式</t>
        </is>
      </c>
      <c r="C23" s="10" t="inlineStr">
        <is>
          <t>キヤノン FAQ 【iR-ADV】トナー容器を交換する方法（iR-ADV C3500 シリーズ）</t>
        </is>
      </c>
      <c r="D23" s="10" t="inlineStr">
        <is>
          <t>https://faq.canon.jp/app/answers/detail/a_id/101392/</t>
        </is>
      </c>
    </row>
    <row r="24">
      <c r="A24" s="10" t="inlineStr">
        <is>
          <t>S20</t>
        </is>
      </c>
      <c r="B24" s="10" t="inlineStr">
        <is>
          <t>販売店・リサイクル業者</t>
        </is>
      </c>
      <c r="C24" s="10" t="inlineStr">
        <is>
          <t>販売店 トナー迅速一番 iR-ADV C3520F/C3530(F) 純正トナー NPG-67</t>
        </is>
      </c>
      <c r="D24" s="10" t="inlineStr">
        <is>
          <t>https://shop.jinsoku.jp/shopdetail/000000001388/</t>
        </is>
      </c>
    </row>
    <row r="25">
      <c r="A25" s="10" t="inlineStr">
        <is>
          <t>S21</t>
        </is>
      </c>
      <c r="B25" s="10" t="inlineStr">
        <is>
          <t>販売店・リサイクル業者</t>
        </is>
      </c>
      <c r="C25" s="10" t="inlineStr">
        <is>
          <t>販売店 良品トナー WT-202 回収トナー容器（iR-ADV C3520/C3530 対応）</t>
        </is>
      </c>
      <c r="D25" s="10" t="inlineStr">
        <is>
          <t>https://www.ryohintoner.jp/shopdetail/000000008136/</t>
        </is>
      </c>
    </row>
    <row r="26">
      <c r="A26" s="10" t="inlineStr">
        <is>
          <t>S22</t>
        </is>
      </c>
      <c r="B26" s="10" t="inlineStr">
        <is>
          <t>販売店・リサイクル業者</t>
        </is>
      </c>
      <c r="C26" s="10" t="inlineStr">
        <is>
          <t>リサイクル ステップワン NPG-67 トナーカートリッジ</t>
        </is>
      </c>
      <c r="D26" s="10" t="inlineStr">
        <is>
          <t>https://www.step-1.net/pricecopy/canon/NPG-67.htm</t>
        </is>
      </c>
    </row>
    <row r="27">
      <c r="A27" s="10" t="inlineStr">
        <is>
          <t>S23</t>
        </is>
      </c>
      <c r="B27" s="10" t="inlineStr">
        <is>
          <t>販売店・リサイクル業者</t>
        </is>
      </c>
      <c r="C27" s="10" t="inlineStr">
        <is>
          <t>販売店 オフィネット XL-9322 トナーカートリッジ・消耗品</t>
        </is>
      </c>
      <c r="D27" s="10" t="inlineStr">
        <is>
          <t>https://www.offinet.com/found2/tekigou_cd/24268/</t>
        </is>
      </c>
    </row>
    <row r="28">
      <c r="A28" s="10" t="inlineStr">
        <is>
          <t>S24</t>
        </is>
      </c>
      <c r="B28" s="10" t="inlineStr">
        <is>
          <t>販売店・リサイクル業者</t>
        </is>
      </c>
      <c r="C28" s="10" t="inlineStr">
        <is>
          <t>リサイクル ステップワン LB321A/LB321M/ドラムLB321（XL-9322/9321）</t>
        </is>
      </c>
      <c r="D28" s="10" t="inlineStr">
        <is>
          <t>https://www.step-1.net/priceprinter/fujitsu/lb321m.htm</t>
        </is>
      </c>
    </row>
    <row r="29">
      <c r="A29" s="10" t="inlineStr">
        <is>
          <t>S25</t>
        </is>
      </c>
      <c r="B29" s="10" t="inlineStr">
        <is>
          <t>メーカー公式</t>
        </is>
      </c>
      <c r="C29" s="10" t="inlineStr">
        <is>
          <t>HP LaserJet Enterprise 600 M601/M602/M603 ユーザーガイド（HP公式PDF）</t>
        </is>
      </c>
      <c r="D29" s="10" t="inlineStr">
        <is>
          <t>https://h10032.www1.hp.com/ctg/Manual/c02677203.pdf</t>
        </is>
      </c>
    </row>
    <row r="30">
      <c r="A30" s="10" t="inlineStr">
        <is>
          <t>S26</t>
        </is>
      </c>
      <c r="B30" s="10" t="inlineStr">
        <is>
          <t>販売店・リサイクル業者</t>
        </is>
      </c>
      <c r="C30" s="10" t="inlineStr">
        <is>
          <t>販売店 トナー迅速一番 リコー IM C3000/C3500 純正トナー C3503</t>
        </is>
      </c>
      <c r="D30" s="10" t="inlineStr">
        <is>
          <t>https://shop.jinsoku.jp/shopdetail/000000001480/</t>
        </is>
      </c>
    </row>
    <row r="31">
      <c r="A31" s="10" t="inlineStr">
        <is>
          <t>S27</t>
        </is>
      </c>
      <c r="B31" s="10" t="inlineStr">
        <is>
          <t>販売店・リサイクル業者</t>
        </is>
      </c>
      <c r="C31" s="10" t="inlineStr">
        <is>
          <t>リサイクル ワールドトナー RICOH IM C3500 対応</t>
        </is>
      </c>
      <c r="D31" s="10" t="inlineStr">
        <is>
          <t>https://www.world-recycletoner.com/ricoh/RICOH-IM-C3500/</t>
        </is>
      </c>
    </row>
    <row r="32">
      <c r="A32" s="10" t="inlineStr">
        <is>
          <t>S28</t>
        </is>
      </c>
      <c r="B32" s="10" t="inlineStr">
        <is>
          <t>販売店・リサイクル業者</t>
        </is>
      </c>
      <c r="C32" s="10" t="inlineStr">
        <is>
          <t>リサイクル Ecoink.in（機種別 対応トナー・ドラム一覧）</t>
        </is>
      </c>
      <c r="D32" s="10" t="inlineStr">
        <is>
          <t>https://ecoink.in/</t>
        </is>
      </c>
    </row>
    <row r="33">
      <c r="A33" s="10" t="inlineStr">
        <is>
          <t>S29</t>
        </is>
      </c>
      <c r="B33" s="10" t="inlineStr">
        <is>
          <t>販売店・リサイクル業者</t>
        </is>
      </c>
      <c r="C33" s="10" t="inlineStr">
        <is>
          <t>リサイクル ワールドトナー RICOH SP 3610 対応</t>
        </is>
      </c>
      <c r="D33" s="10" t="inlineStr">
        <is>
          <t>https://www.world-recycletoner.com/ricoh/RICOH-SP-3610/</t>
        </is>
      </c>
    </row>
    <row r="34">
      <c r="A34" s="10" t="inlineStr">
        <is>
          <t>S30</t>
        </is>
      </c>
      <c r="B34" s="10" t="inlineStr">
        <is>
          <t>販売店・リサイクル業者</t>
        </is>
      </c>
      <c r="C34" s="10" t="inlineStr">
        <is>
          <t>販売店 インクのチップス PX-S381L 対応インク</t>
        </is>
      </c>
      <c r="D34" s="10" t="inlineStr">
        <is>
          <t>https://chips-shop.com/collections/px-s381l</t>
        </is>
      </c>
    </row>
    <row r="35">
      <c r="A35" s="10" t="inlineStr">
        <is>
          <t>S31</t>
        </is>
      </c>
      <c r="B35" s="10" t="inlineStr">
        <is>
          <t>販売店・リサイクル業者</t>
        </is>
      </c>
      <c r="C35" s="10" t="inlineStr">
        <is>
          <t>リサイクル みのるオンライン TK-3431 リサイクルトナー（リターン方式）</t>
        </is>
      </c>
      <c r="D35" s="10" t="inlineStr">
        <is>
          <t>https://store.shopping.yahoo.co.jp/minoru/tk3431r.html</t>
        </is>
      </c>
    </row>
    <row r="36">
      <c r="A36" s="10" t="inlineStr">
        <is>
          <t>S32</t>
        </is>
      </c>
      <c r="B36" s="10" t="inlineStr">
        <is>
          <t>販売店・リサイクル業者</t>
        </is>
      </c>
      <c r="C36" s="10" t="inlineStr">
        <is>
          <t>リサイクル 1toner.net トナーカートリッジ524II/524</t>
        </is>
      </c>
      <c r="D36" s="10" t="inlineStr">
        <is>
          <t>https://www.1toner.net/db/canon/CRG-524.html</t>
        </is>
      </c>
    </row>
    <row r="37">
      <c r="A37" s="10" t="inlineStr">
        <is>
          <t>S33</t>
        </is>
      </c>
      <c r="B37" s="10" t="inlineStr">
        <is>
          <t>販売店・リサイクル業者</t>
        </is>
      </c>
      <c r="C37" s="10" t="inlineStr">
        <is>
          <t>リサイクル ベストトナーショップ DocuPrint CP500 d 関連商品</t>
        </is>
      </c>
      <c r="D37" s="10" t="inlineStr">
        <is>
          <t>https://www.btoner.jp/fuji-film-xerox-toner/docuprint-cp500d/</t>
        </is>
      </c>
    </row>
    <row r="38">
      <c r="A38" s="10" t="inlineStr">
        <is>
          <t>S34</t>
        </is>
      </c>
      <c r="B38" s="10" t="inlineStr">
        <is>
          <t>販売店・リサイクル業者</t>
        </is>
      </c>
      <c r="C38" s="10" t="inlineStr">
        <is>
          <t>リサイクル 興生（ko-so.com）brother HL-L3230CDW 対応</t>
        </is>
      </c>
      <c r="D38" s="10" t="inlineStr">
        <is>
          <t>https://www.ko-so.com/printer_brother2/brother191_hl-l3230cdw.htm</t>
        </is>
      </c>
    </row>
    <row r="39">
      <c r="A39" s="10" t="inlineStr">
        <is>
          <t>S35</t>
        </is>
      </c>
      <c r="B39" s="10" t="inlineStr">
        <is>
          <t>販売店・リサイクル業者</t>
        </is>
      </c>
      <c r="C39" s="10" t="inlineStr">
        <is>
          <t>販売店 アケボノサービス IPSiO SP 4510/SP 4500/SP 3610 対応消耗品</t>
        </is>
      </c>
      <c r="D39" s="10" t="inlineStr">
        <is>
          <t>https://shop.akebono-sv.co.jp/html/page64.html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6" t="inlineStr">
        <is>
          <t>この表の読み方と前提</t>
        </is>
      </c>
    </row>
    <row r="3" ht="34" customHeight="1">
      <c r="A3" s="12" t="inlineStr">
        <is>
          <t>対象</t>
        </is>
      </c>
      <c r="B3" s="13" t="inlineStr">
        <is>
          <t>端末台帳（printer_assets）62 台を、メーカー＋型番でまとめた 22 機種。台数は 2026-08-21 時点。</t>
        </is>
      </c>
    </row>
    <row r="5" ht="34" customHeight="1">
      <c r="A5" s="12" t="inlineStr">
        <is>
          <t>調査日</t>
        </is>
      </c>
      <c r="B5" s="13" t="inlineStr">
        <is>
          <t>2026-08-21。価格・取り扱いは変わるので、発注前に販売店へ確認すること。</t>
        </is>
      </c>
    </row>
    <row r="7" ht="34" customHeight="1">
      <c r="A7" s="12" t="inlineStr">
        <is>
          <t>価格の別</t>
        </is>
      </c>
      <c r="B7" s="13" t="inlineStr">
        <is>
          <t>「メーカー標準価格（税別）」＝メーカー公式ページの標準価格。「直販価格（税込）」＝メーカー直販サイトの表示価格。「実売の参考（税込）」＝販売店ページの価格例（幅がある）。「オープン価格」＝メーカーが価格を公表しておらず、販売店見積り。</t>
        </is>
      </c>
    </row>
    <row r="9" ht="34" customHeight="1">
      <c r="A9" s="12" t="inlineStr">
        <is>
          <t>印刷可能枚数</t>
        </is>
      </c>
      <c r="B9" s="13" t="inlineStr">
        <is>
          <t>各メーカーの公表値。A4・印字率 5% などの条件付きで、実際の枚数は使い方で変わる。ドラム・メンテナンスキットは交換の目安ページ数。</t>
        </is>
      </c>
    </row>
    <row r="11" ht="34" customHeight="1">
      <c r="A11" s="12" t="inlineStr">
        <is>
          <t>区分</t>
        </is>
      </c>
      <c r="B11" s="13" t="inlineStr">
        <is>
          <t>トナー / インク / ドラム（感光体）/ 廃トナー（回収ボトル・容器）/ メンテナンス（キット・ボックス）/ ベルト。</t>
        </is>
      </c>
    </row>
    <row r="13" ht="34" customHeight="1">
      <c r="A13" s="12" t="inlineStr">
        <is>
          <t>照合キー</t>
        </is>
      </c>
      <c r="B13" s="13" t="inlineStr">
        <is>
          <t>システムのトナーマスタと突き合わせる品番。マスタに同じものがある場合はマスタ側の ID（例 C310H-BK）、無い場合はメーカーの品番をそのまま入れている。色違いで品番が共通のもの（C310 など）は 4 色とも同じ鍵になる。</t>
        </is>
      </c>
    </row>
    <row r="15" ht="34" customHeight="1">
      <c r="A15" s="12" t="inlineStr">
        <is>
          <t>台帳マスタ</t>
        </is>
      </c>
      <c r="B15" s="13" t="inlineStr">
        <is>
          <t>「登録あり」＝その品番がトナーマスタにある。「未登録」＝調べた純正品がマスタに無い。「—」＝実在しない行（ドラム別売なし等）で判定していない。※マスタにあることと、機種に紐づいていることは別。紐づけは画面の「機種別トナー」で確認する。</t>
        </is>
      </c>
    </row>
    <row r="17" ht="34" customHeight="1">
      <c r="A17" s="12" t="inlineStr">
        <is>
          <t>リサイクル/互換</t>
        </is>
      </c>
      <c r="B17" s="13" t="inlineStr">
        <is>
          <t>リサイクル品（使用済みカートリッジを再生）または互換品（他社新品）の流通があるか。個別の商品を推奨するものではなく、選択肢の有無を示す。</t>
        </is>
      </c>
    </row>
    <row r="19" ht="34" customHeight="1">
      <c r="A19" s="12" t="inlineStr">
        <is>
          <t>注意（保守契約）</t>
        </is>
      </c>
      <c r="B19" s="13" t="inlineStr">
        <is>
          <t>iR-ADV C3520F/C3530F と RICOH IM C3500 は複合機で、感光体・定着などは保守契約でサービス員が交換するのが基本。一般に購入するのはトナーと廃トナー容器が中心になる。</t>
        </is>
      </c>
    </row>
    <row r="21" ht="34" customHeight="1">
      <c r="A21" s="12" t="inlineStr">
        <is>
          <t>注意（純正指定）</t>
        </is>
      </c>
      <c r="B21" s="13" t="inlineStr">
        <is>
          <t>各メーカーとも純正品の使用を推奨しており、非純正品による不具合は保証・保守の対象外になる旨を明記している。</t>
        </is>
      </c>
    </row>
    <row r="23" ht="34" customHeight="1">
      <c r="A23" s="12" t="inlineStr">
        <is>
          <t>注意（販売終了）</t>
        </is>
      </c>
      <c r="B23" s="13" t="inlineStr">
        <is>
          <t>Ricoh の SP 系・P C301SF・IPSiO SP 4310、DocuPrint CP500 d、HL-L3230CDW などは本体が販売終了品。消耗品の供給期限があるため、在庫の持ち方は別途検討が必要。</t>
        </is>
      </c>
    </row>
    <row r="25" ht="34" customHeight="1">
      <c r="A25" s="12" t="inlineStr">
        <is>
          <t>空欄の意味</t>
        </is>
      </c>
      <c r="B25" s="13" t="inlineStr">
        <is>
          <t>印刷可能枚数・価格の空欄は「公表されていない／今回の調査で確認できなかった」。0 ではない。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2026-08-21T00:52:09Z</dcterms:created>
  <dcterms:modified xsi:type="dcterms:W3CDTF">2026-08-21T00:52:09Z</dcterms:modified>
</cp:coreProperties>
</file>